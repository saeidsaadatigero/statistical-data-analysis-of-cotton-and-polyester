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49ECFB9-DB9D-45FA-9B2E-2E7877BCFC7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دوک 20.2" sheetId="1" r:id="rId1"/>
    <sheet name="دوک40.2" sheetId="2" r:id="rId2"/>
    <sheet name="پارچه‌ی پنبه" sheetId="3" r:id="rId3"/>
    <sheet name="پارچه پلی استر" sheetId="5" r:id="rId4"/>
    <sheet name="نمونه پنبه" sheetId="8" r:id="rId5"/>
    <sheet name="نمونه پلی استر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9" l="1"/>
  <c r="L30" i="9"/>
  <c r="P19" i="9"/>
  <c r="O19" i="9"/>
  <c r="N19" i="9"/>
  <c r="M19" i="9"/>
  <c r="L19" i="9"/>
  <c r="K19" i="9"/>
  <c r="P18" i="9"/>
  <c r="O18" i="9"/>
  <c r="N18" i="9"/>
  <c r="M18" i="9"/>
  <c r="L18" i="9"/>
  <c r="K18" i="9"/>
  <c r="P17" i="9"/>
  <c r="O17" i="9"/>
  <c r="N17" i="9"/>
  <c r="M17" i="9"/>
  <c r="L17" i="9"/>
  <c r="K17" i="9"/>
  <c r="P16" i="9"/>
  <c r="O16" i="9"/>
  <c r="N16" i="9"/>
  <c r="M16" i="9"/>
  <c r="L16" i="9"/>
  <c r="K16" i="9"/>
  <c r="P15" i="9"/>
  <c r="O15" i="9"/>
  <c r="N15" i="9"/>
  <c r="M15" i="9"/>
  <c r="L15" i="9"/>
  <c r="K15" i="9"/>
  <c r="P14" i="9"/>
  <c r="O14" i="9"/>
  <c r="N14" i="9"/>
  <c r="M14" i="9"/>
  <c r="L14" i="9"/>
  <c r="K14" i="9"/>
  <c r="P13" i="9"/>
  <c r="O13" i="9"/>
  <c r="N13" i="9"/>
  <c r="M13" i="9"/>
  <c r="L13" i="9"/>
  <c r="K13" i="9"/>
  <c r="P12" i="9"/>
  <c r="O12" i="9"/>
  <c r="N12" i="9"/>
  <c r="M12" i="9"/>
  <c r="L12" i="9"/>
  <c r="K12" i="9"/>
  <c r="P11" i="9"/>
  <c r="O11" i="9"/>
  <c r="N11" i="9"/>
  <c r="M11" i="9"/>
  <c r="L11" i="9"/>
  <c r="K11" i="9"/>
  <c r="P10" i="9"/>
  <c r="O10" i="9"/>
  <c r="N10" i="9"/>
  <c r="M10" i="9"/>
  <c r="L10" i="9"/>
  <c r="K10" i="9"/>
  <c r="P9" i="9"/>
  <c r="O9" i="9"/>
  <c r="N9" i="9"/>
  <c r="M9" i="9"/>
  <c r="L9" i="9"/>
  <c r="K9" i="9"/>
  <c r="P8" i="9"/>
  <c r="O8" i="9"/>
  <c r="N8" i="9"/>
  <c r="M8" i="9"/>
  <c r="L8" i="9"/>
  <c r="K8" i="9"/>
  <c r="P7" i="9"/>
  <c r="O7" i="9"/>
  <c r="N7" i="9"/>
  <c r="M7" i="9"/>
  <c r="L7" i="9"/>
  <c r="K7" i="9"/>
  <c r="P6" i="9"/>
  <c r="O6" i="9"/>
  <c r="N6" i="9"/>
  <c r="M6" i="9"/>
  <c r="L6" i="9"/>
  <c r="K6" i="9"/>
  <c r="P5" i="9"/>
  <c r="O5" i="9"/>
  <c r="N5" i="9"/>
  <c r="M5" i="9"/>
  <c r="L5" i="9"/>
  <c r="K5" i="9"/>
  <c r="P4" i="9"/>
  <c r="O4" i="9"/>
  <c r="N4" i="9"/>
  <c r="M4" i="9"/>
  <c r="L4" i="9"/>
  <c r="K4" i="9"/>
  <c r="P3" i="9"/>
  <c r="O3" i="9"/>
  <c r="N3" i="9"/>
  <c r="M3" i="9"/>
  <c r="L3" i="9"/>
  <c r="K3" i="9"/>
  <c r="P2" i="9"/>
  <c r="O2" i="9"/>
  <c r="N2" i="9"/>
  <c r="M2" i="9"/>
  <c r="L2" i="9"/>
  <c r="K2" i="9"/>
  <c r="P19" i="8"/>
  <c r="O19" i="8"/>
  <c r="N19" i="8"/>
  <c r="M19" i="8"/>
  <c r="L19" i="8"/>
  <c r="K19" i="8"/>
  <c r="P18" i="8"/>
  <c r="O18" i="8"/>
  <c r="N18" i="8"/>
  <c r="M18" i="8"/>
  <c r="L18" i="8"/>
  <c r="K18" i="8"/>
  <c r="P17" i="8"/>
  <c r="O17" i="8"/>
  <c r="N17" i="8"/>
  <c r="M17" i="8"/>
  <c r="L17" i="8"/>
  <c r="K17" i="8"/>
  <c r="P16" i="8"/>
  <c r="O16" i="8"/>
  <c r="N16" i="8"/>
  <c r="M16" i="8"/>
  <c r="L16" i="8"/>
  <c r="K16" i="8"/>
  <c r="P15" i="8"/>
  <c r="O15" i="8"/>
  <c r="N15" i="8"/>
  <c r="M15" i="8"/>
  <c r="L15" i="8"/>
  <c r="K15" i="8"/>
  <c r="P14" i="8"/>
  <c r="O14" i="8"/>
  <c r="N14" i="8"/>
  <c r="M14" i="8"/>
  <c r="L14" i="8"/>
  <c r="K14" i="8"/>
  <c r="P13" i="8"/>
  <c r="O13" i="8"/>
  <c r="N13" i="8"/>
  <c r="M13" i="8"/>
  <c r="L13" i="8"/>
  <c r="K13" i="8"/>
  <c r="P12" i="8"/>
  <c r="O12" i="8"/>
  <c r="N12" i="8"/>
  <c r="M12" i="8"/>
  <c r="L12" i="8"/>
  <c r="K12" i="8"/>
  <c r="P11" i="8"/>
  <c r="O11" i="8"/>
  <c r="N11" i="8"/>
  <c r="M11" i="8"/>
  <c r="L11" i="8"/>
  <c r="K11" i="8"/>
  <c r="P10" i="8"/>
  <c r="O10" i="8"/>
  <c r="N10" i="8"/>
  <c r="M10" i="8"/>
  <c r="L10" i="8"/>
  <c r="K10" i="8"/>
  <c r="P9" i="8"/>
  <c r="O9" i="8"/>
  <c r="N9" i="8"/>
  <c r="M9" i="8"/>
  <c r="L9" i="8"/>
  <c r="K9" i="8"/>
  <c r="P8" i="8"/>
  <c r="O8" i="8"/>
  <c r="N8" i="8"/>
  <c r="M8" i="8"/>
  <c r="L8" i="8"/>
  <c r="K8" i="8"/>
  <c r="P7" i="8"/>
  <c r="O7" i="8"/>
  <c r="N7" i="8"/>
  <c r="M7" i="8"/>
  <c r="L7" i="8"/>
  <c r="K7" i="8"/>
  <c r="P6" i="8"/>
  <c r="O6" i="8"/>
  <c r="N6" i="8"/>
  <c r="M6" i="8"/>
  <c r="L6" i="8"/>
  <c r="K6" i="8"/>
  <c r="P5" i="8"/>
  <c r="O5" i="8"/>
  <c r="N5" i="8"/>
  <c r="M5" i="8"/>
  <c r="L5" i="8"/>
  <c r="K5" i="8"/>
  <c r="P4" i="8"/>
  <c r="O4" i="8"/>
  <c r="N4" i="8"/>
  <c r="M4" i="8"/>
  <c r="L4" i="8"/>
  <c r="K4" i="8"/>
  <c r="P3" i="8"/>
  <c r="O3" i="8"/>
  <c r="N3" i="8"/>
  <c r="M3" i="8"/>
  <c r="L3" i="8"/>
  <c r="K3" i="8"/>
  <c r="P2" i="8"/>
  <c r="O2" i="8"/>
  <c r="L2" i="8"/>
  <c r="M2" i="8"/>
  <c r="N2" i="8"/>
  <c r="K2" i="8"/>
  <c r="N24" i="8"/>
  <c r="L24" i="8"/>
</calcChain>
</file>

<file path=xl/sharedStrings.xml><?xml version="1.0" encoding="utf-8"?>
<sst xmlns="http://schemas.openxmlformats.org/spreadsheetml/2006/main" count="243" uniqueCount="92">
  <si>
    <t>فرمول</t>
  </si>
  <si>
    <t>پارچه ی پنبه</t>
  </si>
  <si>
    <t>پارچه پلی استر</t>
  </si>
  <si>
    <r>
      <t xml:space="preserve">(5×5) </t>
    </r>
    <r>
      <rPr>
        <sz val="12"/>
        <color theme="1"/>
        <rFont val="B Nazanin"/>
        <charset val="178"/>
      </rPr>
      <t>نمونه 1</t>
    </r>
  </si>
  <si>
    <r>
      <t xml:space="preserve">(5×5) </t>
    </r>
    <r>
      <rPr>
        <sz val="12"/>
        <color theme="1"/>
        <rFont val="B Nazanin"/>
        <charset val="178"/>
      </rPr>
      <t>نمونه 2</t>
    </r>
    <r>
      <rPr>
        <sz val="11"/>
        <color theme="1"/>
        <rFont val="Arial"/>
        <family val="2"/>
        <scheme val="minor"/>
      </rPr>
      <t/>
    </r>
  </si>
  <si>
    <r>
      <t xml:space="preserve">(5×5) </t>
    </r>
    <r>
      <rPr>
        <sz val="12"/>
        <color theme="1"/>
        <rFont val="B Nazanin"/>
        <charset val="178"/>
      </rPr>
      <t>نمونه 3</t>
    </r>
    <r>
      <rPr>
        <sz val="11"/>
        <color theme="1"/>
        <rFont val="Arial"/>
        <family val="2"/>
        <scheme val="minor"/>
      </rPr>
      <t/>
    </r>
  </si>
  <si>
    <r>
      <t xml:space="preserve">(5×5) </t>
    </r>
    <r>
      <rPr>
        <sz val="12"/>
        <color theme="1"/>
        <rFont val="B Nazanin"/>
        <charset val="178"/>
      </rPr>
      <t>نمونه 4</t>
    </r>
    <r>
      <rPr>
        <sz val="11"/>
        <color theme="1"/>
        <rFont val="Arial"/>
        <family val="2"/>
        <scheme val="minor"/>
      </rPr>
      <t/>
    </r>
  </si>
  <si>
    <r>
      <t xml:space="preserve">(5×5) </t>
    </r>
    <r>
      <rPr>
        <sz val="12"/>
        <color theme="1"/>
        <rFont val="B Nazanin"/>
        <charset val="178"/>
      </rPr>
      <t>نمونه 5</t>
    </r>
    <r>
      <rPr>
        <sz val="11"/>
        <color theme="1"/>
        <rFont val="Arial"/>
        <family val="2"/>
        <scheme val="minor"/>
      </rPr>
      <t/>
    </r>
  </si>
  <si>
    <r>
      <t>نمونه نخ</t>
    </r>
    <r>
      <rPr>
        <sz val="12"/>
        <color theme="1"/>
        <rFont val="Times New Roman"/>
        <family val="1"/>
        <scheme val="major"/>
      </rPr>
      <t xml:space="preserve"> (1m)</t>
    </r>
  </si>
  <si>
    <r>
      <t xml:space="preserve">0.025 = </t>
    </r>
    <r>
      <rPr>
        <sz val="12"/>
        <color theme="1"/>
        <rFont val="B Nazanin"/>
        <charset val="178"/>
      </rPr>
      <t>میانگین</t>
    </r>
  </si>
  <si>
    <t>‌</t>
  </si>
  <si>
    <t xml:space="preserve"> ‌</t>
  </si>
  <si>
    <t xml:space="preserve">   </t>
  </si>
  <si>
    <r>
      <t xml:space="preserve">وزن 4 متر نخ پودپارچه
</t>
    </r>
    <r>
      <rPr>
        <sz val="12"/>
        <color theme="1"/>
        <rFont val="Times New Roman"/>
        <family val="1"/>
        <scheme val="major"/>
      </rPr>
      <t>0.05، 0.05، 0.05، 0.05، 0.05</t>
    </r>
  </si>
  <si>
    <r>
      <t xml:space="preserve">نمره نخ تار پارچه </t>
    </r>
    <r>
      <rPr>
        <sz val="12"/>
        <color theme="1"/>
        <rFont val="Times New Roman"/>
        <family val="1"/>
        <scheme val="major"/>
      </rPr>
      <t>(tex)</t>
    </r>
  </si>
  <si>
    <r>
      <t xml:space="preserve">نمره نخ پود پارچه </t>
    </r>
    <r>
      <rPr>
        <sz val="12"/>
        <color theme="1"/>
        <rFont val="Times New Roman"/>
        <family val="1"/>
        <scheme val="major"/>
      </rPr>
      <t>(tex)</t>
    </r>
  </si>
  <si>
    <t>5 پود 1 متری: وزن 0.05 (پارچه)
3 تار 1 متری: وزن 0.05 (پارچه)</t>
  </si>
  <si>
    <r>
      <t xml:space="preserve">نمره نخ تار </t>
    </r>
    <r>
      <rPr>
        <sz val="12"/>
        <color theme="1"/>
        <rFont val="Times New Roman"/>
        <family val="1"/>
        <scheme val="major"/>
      </rPr>
      <t>(tex)</t>
    </r>
  </si>
  <si>
    <r>
      <t>نمره نخ پود</t>
    </r>
    <r>
      <rPr>
        <sz val="12"/>
        <color theme="1"/>
        <rFont val="Times New Roman"/>
        <family val="1"/>
        <scheme val="major"/>
      </rPr>
      <t xml:space="preserve"> (tex)</t>
    </r>
  </si>
  <si>
    <t xml:space="preserve"> </t>
  </si>
  <si>
    <r>
      <t>نمره اندازه‌گیری شده</t>
    </r>
    <r>
      <rPr>
        <b/>
        <sz val="12"/>
        <color theme="0"/>
        <rFont val="Times New Roman"/>
        <family val="1"/>
        <scheme val="major"/>
      </rPr>
      <t xml:space="preserve"> (Ne)</t>
    </r>
  </si>
  <si>
    <r>
      <t xml:space="preserve">نمره اسمی نخ </t>
    </r>
    <r>
      <rPr>
        <sz val="12"/>
        <color theme="1"/>
        <rFont val="Times New Roman"/>
        <family val="1"/>
        <scheme val="major"/>
      </rPr>
      <t>(Ne)</t>
    </r>
  </si>
  <si>
    <t>کد نمونه</t>
  </si>
  <si>
    <t>پارچه</t>
  </si>
  <si>
    <t>کشش</t>
  </si>
  <si>
    <t>تکرار</t>
  </si>
  <si>
    <t xml:space="preserve">  </t>
  </si>
  <si>
    <t xml:space="preserve">    </t>
  </si>
  <si>
    <t>C20L - 1</t>
  </si>
  <si>
    <t>پنبه</t>
  </si>
  <si>
    <t>C20L - 2</t>
  </si>
  <si>
    <t>C20L - 3</t>
  </si>
  <si>
    <t>C20S - 1</t>
  </si>
  <si>
    <t>C20S - 2</t>
  </si>
  <si>
    <t>C20S - 3</t>
  </si>
  <si>
    <t>C20H - 1</t>
  </si>
  <si>
    <t>C20H - 2</t>
  </si>
  <si>
    <t>C20H - 3</t>
  </si>
  <si>
    <t>C40L - 1</t>
  </si>
  <si>
    <t>C40L - 2</t>
  </si>
  <si>
    <t>C40L - 3</t>
  </si>
  <si>
    <t>C40S - 1</t>
  </si>
  <si>
    <t>C40S - 2</t>
  </si>
  <si>
    <t>C40S - 3</t>
  </si>
  <si>
    <t>C40H - 1</t>
  </si>
  <si>
    <t>C40H - 2</t>
  </si>
  <si>
    <t>C40H - 3</t>
  </si>
  <si>
    <t>Control 1</t>
  </si>
  <si>
    <t>Control 2</t>
  </si>
  <si>
    <t>Control 3</t>
  </si>
  <si>
    <t>کم</t>
  </si>
  <si>
    <t>متوسط</t>
  </si>
  <si>
    <t>کرنش اولیه دوخت</t>
  </si>
  <si>
    <t>شاخص پسماند آزاد شده 1</t>
  </si>
  <si>
    <t>شاخص پسماند آزاد شده 2</t>
  </si>
  <si>
    <t>P20L - 1</t>
  </si>
  <si>
    <t>P20L - 2</t>
  </si>
  <si>
    <t>P20L - 3</t>
  </si>
  <si>
    <t>P20S - 1</t>
  </si>
  <si>
    <t>P20S - 2</t>
  </si>
  <si>
    <t>P20S - 3</t>
  </si>
  <si>
    <t>P20H - 1</t>
  </si>
  <si>
    <t>P20H - 2</t>
  </si>
  <si>
    <t>P20H - 3</t>
  </si>
  <si>
    <t>P40L - 1</t>
  </si>
  <si>
    <t>P40L - 2</t>
  </si>
  <si>
    <t>P40L - 3</t>
  </si>
  <si>
    <t>P40S - 1</t>
  </si>
  <si>
    <t>P40S - 2</t>
  </si>
  <si>
    <t>P40S - 3</t>
  </si>
  <si>
    <t>P40H - 1</t>
  </si>
  <si>
    <t>P40H - 2</t>
  </si>
  <si>
    <t>P40H - 3</t>
  </si>
  <si>
    <t>_ _ _</t>
  </si>
  <si>
    <t>زیاد</t>
  </si>
  <si>
    <t>میانگین</t>
  </si>
  <si>
    <t>بعد از شستشو 2</t>
  </si>
  <si>
    <t>بعد از شستشو 1</t>
  </si>
  <si>
    <t xml:space="preserve">نمره ارزیاب‌ها </t>
  </si>
  <si>
    <t>شاخص تفاضل شستشو 2</t>
  </si>
  <si>
    <t>درصد آبرفت کل
در شستشو اول</t>
  </si>
  <si>
    <t>درصد آبرفت کل
در شستشو دوم</t>
  </si>
  <si>
    <t>پلی‌استر</t>
  </si>
  <si>
    <t>3 نمونه شاهد</t>
  </si>
  <si>
    <t>درصد آبرفت کل در شستشو اول</t>
  </si>
  <si>
    <t>درصد آبرفت کل در شستشو دوم</t>
  </si>
  <si>
    <t>فرمول‌ها</t>
  </si>
  <si>
    <r>
      <t xml:space="preserve">نمره نخ قرره
پنبه </t>
    </r>
    <r>
      <rPr>
        <sz val="10"/>
        <color theme="1"/>
        <rFont val="Times New Roman"/>
        <family val="1"/>
        <scheme val="major"/>
      </rPr>
      <t>(ne)</t>
    </r>
  </si>
  <si>
    <t>شاخص پسماند
آزاد شده 1</t>
  </si>
  <si>
    <t>شاخص پسماند
آزاد شده 2</t>
  </si>
  <si>
    <t>شاخص تفاضل
شستشو 2</t>
  </si>
  <si>
    <t>نخ دوک پلی استر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</si>
</sst>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rial"/>
      <family val="2"/>
      <scheme val="minor"/>
    </font>
    <font>
      <sz val="12"/>
      <color theme="1"/>
      <name val="B Nazanin"/>
      <charset val="178"/>
    </font>
    <font>
      <sz val="12"/>
      <color theme="1"/>
      <name val="Times New Roman"/>
      <family val="1"/>
      <scheme val="major"/>
    </font>
    <font>
      <sz val="8"/>
      <name val="Arial"/>
      <family val="2"/>
      <scheme val="minor"/>
    </font>
    <font>
      <b/>
      <sz val="12"/>
      <color theme="0"/>
      <name val="B Nazanin"/>
      <charset val="178"/>
    </font>
    <font>
      <b/>
      <sz val="12"/>
      <color theme="0"/>
      <name val="Times New Roman"/>
      <family val="1"/>
      <scheme val="major"/>
    </font>
    <font>
      <sz val="10"/>
      <color theme="1"/>
      <name val="Times New Roman"/>
      <family val="1"/>
      <scheme val="major"/>
    </font>
    <font>
      <sz val="12"/>
      <color theme="0"/>
      <name val="B Nazanin"/>
      <charset val="178"/>
    </font>
    <font>
      <b/>
      <sz val="12"/>
      <color theme="1"/>
      <name val="B Nazanin"/>
      <charset val="178"/>
    </font>
    <font>
      <b/>
      <sz val="9"/>
      <color theme="0"/>
      <name val="B Nazanin"/>
      <charset val="178"/>
    </font>
    <font>
      <sz val="10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readingOrder="2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vertical="center" readingOrder="2"/>
    </xf>
    <xf numFmtId="0" fontId="2" fillId="0" borderId="0" xfId="0" applyFont="1" applyAlignment="1">
      <alignment horizont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4" fillId="2" borderId="6" xfId="0" applyFont="1" applyFill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readingOrder="2"/>
    </xf>
    <xf numFmtId="0" fontId="1" fillId="0" borderId="0" xfId="0" applyFont="1" applyAlignment="1">
      <alignment vertical="center" readingOrder="2"/>
    </xf>
    <xf numFmtId="0" fontId="4" fillId="2" borderId="5" xfId="0" applyFont="1" applyFill="1" applyBorder="1" applyAlignment="1">
      <alignment horizontal="center" vertical="center" readingOrder="2"/>
    </xf>
    <xf numFmtId="0" fontId="2" fillId="5" borderId="8" xfId="0" applyFont="1" applyFill="1" applyBorder="1" applyAlignment="1">
      <alignment horizontal="center" vertical="center" readingOrder="2"/>
    </xf>
    <xf numFmtId="0" fontId="2" fillId="0" borderId="8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6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2" xfId="0" applyFont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8" fillId="0" borderId="25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" fillId="2" borderId="0" xfId="0" applyFont="1" applyFill="1" applyAlignment="1">
      <alignment readingOrder="2"/>
    </xf>
    <xf numFmtId="0" fontId="7" fillId="2" borderId="30" xfId="0" applyFont="1" applyFill="1" applyBorder="1" applyAlignment="1">
      <alignment horizontal="center" vertical="center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8" fillId="0" borderId="8" xfId="0" applyFont="1" applyBorder="1" applyAlignment="1">
      <alignment horizontal="center" vertical="center" readingOrder="2"/>
    </xf>
    <xf numFmtId="0" fontId="10" fillId="0" borderId="5" xfId="0" applyFont="1" applyBorder="1" applyAlignment="1">
      <alignment horizontal="center" vertical="center" wrapText="1" readingOrder="2"/>
    </xf>
    <xf numFmtId="164" fontId="8" fillId="0" borderId="26" xfId="0" applyNumberFormat="1" applyFont="1" applyBorder="1" applyAlignment="1">
      <alignment horizontal="center" vertical="center" readingOrder="1"/>
    </xf>
    <xf numFmtId="164" fontId="8" fillId="5" borderId="20" xfId="0" applyNumberFormat="1" applyFont="1" applyFill="1" applyBorder="1" applyAlignment="1">
      <alignment horizontal="center" vertical="center" readingOrder="2"/>
    </xf>
    <xf numFmtId="164" fontId="8" fillId="5" borderId="8" xfId="0" applyNumberFormat="1" applyFont="1" applyFill="1" applyBorder="1" applyAlignment="1">
      <alignment horizontal="center" vertical="center" readingOrder="2"/>
    </xf>
    <xf numFmtId="164" fontId="8" fillId="0" borderId="23" xfId="0" applyNumberFormat="1" applyFont="1" applyBorder="1" applyAlignment="1">
      <alignment horizontal="center" vertical="center" readingOrder="2"/>
    </xf>
    <xf numFmtId="164" fontId="8" fillId="0" borderId="8" xfId="0" applyNumberFormat="1" applyFont="1" applyBorder="1" applyAlignment="1">
      <alignment horizontal="center" vertical="center" readingOrder="2"/>
    </xf>
    <xf numFmtId="164" fontId="8" fillId="5" borderId="23" xfId="0" applyNumberFormat="1" applyFont="1" applyFill="1" applyBorder="1" applyAlignment="1">
      <alignment horizontal="center" vertical="center" readingOrder="2"/>
    </xf>
    <xf numFmtId="164" fontId="8" fillId="0" borderId="8" xfId="0" applyNumberFormat="1" applyFont="1" applyBorder="1" applyAlignment="1">
      <alignment horizontal="center" vertical="center" wrapText="1" readingOrder="2"/>
    </xf>
    <xf numFmtId="164" fontId="8" fillId="5" borderId="8" xfId="0" applyNumberFormat="1" applyFont="1" applyFill="1" applyBorder="1" applyAlignment="1">
      <alignment horizontal="center" vertical="center" wrapText="1" readingOrder="2"/>
    </xf>
    <xf numFmtId="164" fontId="8" fillId="0" borderId="8" xfId="0" applyNumberFormat="1" applyFont="1" applyBorder="1" applyAlignment="1">
      <alignment horizontal="center" vertical="center" readingOrder="1"/>
    </xf>
    <xf numFmtId="0" fontId="1" fillId="5" borderId="3" xfId="0" applyFont="1" applyFill="1" applyBorder="1" applyAlignment="1">
      <alignment vertical="center" readingOrder="2"/>
    </xf>
    <xf numFmtId="0" fontId="6" fillId="2" borderId="28" xfId="0" applyFont="1" applyFill="1" applyBorder="1" applyAlignment="1">
      <alignment horizontal="center" vertical="center" readingOrder="2"/>
    </xf>
    <xf numFmtId="0" fontId="1" fillId="2" borderId="28" xfId="0" applyFont="1" applyFill="1" applyBorder="1" applyAlignment="1">
      <alignment horizontal="center" vertical="center" readingOrder="2"/>
    </xf>
    <xf numFmtId="0" fontId="1" fillId="2" borderId="37" xfId="0" applyFont="1" applyFill="1" applyBorder="1" applyAlignment="1">
      <alignment horizontal="center" vertical="center" readingOrder="2"/>
    </xf>
    <xf numFmtId="0" fontId="1" fillId="2" borderId="36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right" vertical="center" wrapText="1" indent="1" readingOrder="2"/>
    </xf>
    <xf numFmtId="0" fontId="1" fillId="0" borderId="0" xfId="0" applyFont="1" applyAlignment="1">
      <alignment horizontal="right" vertical="center" indent="1" readingOrder="2"/>
    </xf>
    <xf numFmtId="0" fontId="1" fillId="0" borderId="0" xfId="0" applyFont="1" applyAlignment="1">
      <alignment horizontal="center" readingOrder="2"/>
    </xf>
    <xf numFmtId="0" fontId="7" fillId="2" borderId="30" xfId="0" applyFont="1" applyFill="1" applyBorder="1" applyAlignment="1">
      <alignment horizontal="center" vertical="center" readingOrder="2"/>
    </xf>
    <xf numFmtId="0" fontId="7" fillId="2" borderId="0" xfId="0" applyFont="1" applyFill="1" applyAlignment="1">
      <alignment horizontal="center" vertical="center" readingOrder="2"/>
    </xf>
    <xf numFmtId="0" fontId="1" fillId="5" borderId="2" xfId="0" applyFont="1" applyFill="1" applyBorder="1" applyAlignment="1">
      <alignment horizontal="center" vertical="center" readingOrder="2"/>
    </xf>
    <xf numFmtId="0" fontId="7" fillId="2" borderId="35" xfId="0" applyFont="1" applyFill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14" xfId="0" applyFont="1" applyBorder="1" applyAlignment="1">
      <alignment horizontal="center" readingOrder="2"/>
    </xf>
    <xf numFmtId="0" fontId="1" fillId="0" borderId="17" xfId="0" applyFont="1" applyBorder="1" applyAlignment="1">
      <alignment horizontal="center" readingOrder="2"/>
    </xf>
    <xf numFmtId="0" fontId="1" fillId="0" borderId="16" xfId="0" applyFont="1" applyBorder="1" applyAlignment="1">
      <alignment horizontal="center" readingOrder="2"/>
    </xf>
    <xf numFmtId="0" fontId="1" fillId="0" borderId="18" xfId="0" applyFont="1" applyBorder="1" applyAlignment="1">
      <alignment horizontal="center" readingOrder="2"/>
    </xf>
    <xf numFmtId="0" fontId="1" fillId="0" borderId="13" xfId="0" applyFont="1" applyBorder="1" applyAlignment="1">
      <alignment horizontal="center" readingOrder="2"/>
    </xf>
    <xf numFmtId="0" fontId="1" fillId="0" borderId="19" xfId="0" applyFont="1" applyBorder="1" applyAlignment="1">
      <alignment horizontal="center" readingOrder="2"/>
    </xf>
    <xf numFmtId="0" fontId="1" fillId="0" borderId="8" xfId="0" applyFont="1" applyBorder="1" applyAlignment="1">
      <alignment horizontal="center" vertical="center" readingOrder="2"/>
    </xf>
    <xf numFmtId="0" fontId="4" fillId="2" borderId="5" xfId="0" applyFont="1" applyFill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center" vertical="center" readingOrder="2"/>
    </xf>
    <xf numFmtId="0" fontId="8" fillId="2" borderId="6" xfId="0" applyFont="1" applyFill="1" applyBorder="1" applyAlignment="1">
      <alignment horizontal="center" vertical="center" readingOrder="2"/>
    </xf>
    <xf numFmtId="0" fontId="1" fillId="0" borderId="21" xfId="0" applyFont="1" applyBorder="1" applyAlignment="1">
      <alignment horizontal="center" readingOrder="2"/>
    </xf>
    <xf numFmtId="0" fontId="1" fillId="0" borderId="22" xfId="0" applyFont="1" applyBorder="1" applyAlignment="1">
      <alignment horizont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 readingOrder="2"/>
    </xf>
    <xf numFmtId="0" fontId="2" fillId="3" borderId="3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readingOrder="2"/>
    </xf>
    <xf numFmtId="0" fontId="1" fillId="0" borderId="2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 readingOrder="2"/>
    </xf>
    <xf numFmtId="0" fontId="1" fillId="5" borderId="29" xfId="0" applyFont="1" applyFill="1" applyBorder="1" applyAlignment="1">
      <alignment horizontal="center" vertical="center" readingOrder="2"/>
    </xf>
    <xf numFmtId="0" fontId="1" fillId="5" borderId="24" xfId="0" applyFont="1" applyFill="1" applyBorder="1" applyAlignment="1">
      <alignment horizontal="center" vertical="center" readingOrder="2"/>
    </xf>
    <xf numFmtId="0" fontId="1" fillId="5" borderId="27" xfId="0" applyFont="1" applyFill="1" applyBorder="1" applyAlignment="1">
      <alignment horizontal="center" vertical="center" readingOrder="2"/>
    </xf>
    <xf numFmtId="0" fontId="7" fillId="2" borderId="33" xfId="0" applyFont="1" applyFill="1" applyBorder="1" applyAlignment="1">
      <alignment horizontal="center" vertical="center" readingOrder="2"/>
    </xf>
    <xf numFmtId="0" fontId="7" fillId="2" borderId="34" xfId="0" applyFont="1" applyFill="1" applyBorder="1" applyAlignment="1">
      <alignment horizontal="center" vertical="center" readingOrder="2"/>
    </xf>
    <xf numFmtId="0" fontId="7" fillId="2" borderId="31" xfId="0" applyFont="1" applyFill="1" applyBorder="1" applyAlignment="1">
      <alignment horizontal="center" vertical="center" readingOrder="2"/>
    </xf>
    <xf numFmtId="0" fontId="7" fillId="2" borderId="32" xfId="0" applyFont="1" applyFill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readingOrder="2"/>
    </xf>
  </cellXfs>
  <cellStyles count="1">
    <cellStyle name="Normal" xfId="0" builtinId="0"/>
  </cellStyles>
  <dxfs count="51"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2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2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horizontal="center" vertical="bottom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major"/>
      </font>
      <alignment textRotation="0" wrapText="0" indent="0" justifyLastLine="0" shrinkToFit="0" readingOrder="2"/>
    </dxf>
    <dxf>
      <font>
        <strike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alignment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462630-075F-9E55-1C64-B6EBA301330F}"/>
                </a:ext>
              </a:extLst>
            </xdr:cNvPr>
            <xdr:cNvSpPr txBox="1"/>
          </xdr:nvSpPr>
          <xdr:spPr>
            <a:xfrm>
              <a:off x="10988641980" y="236220"/>
              <a:ext cx="13944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=0.025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6462630-075F-9E55-1C64-B6EBA301330F}"/>
                </a:ext>
              </a:extLst>
            </xdr:cNvPr>
            <xdr:cNvSpPr txBox="1"/>
          </xdr:nvSpPr>
          <xdr:spPr>
            <a:xfrm>
              <a:off x="10988641980" y="236220"/>
              <a:ext cx="13944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2=0.025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FABC5AB-BE9D-7268-A40D-981BB7D7C104}"/>
                </a:ext>
              </a:extLst>
            </xdr:cNvPr>
            <xdr:cNvSpPr txBox="1"/>
          </xdr:nvSpPr>
          <xdr:spPr>
            <a:xfrm>
              <a:off x="10988641980" y="998220"/>
              <a:ext cx="1501140" cy="472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=0.025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FABC5AB-BE9D-7268-A40D-981BB7D7C104}"/>
                </a:ext>
              </a:extLst>
            </xdr:cNvPr>
            <xdr:cNvSpPr txBox="1"/>
          </xdr:nvSpPr>
          <xdr:spPr>
            <a:xfrm>
              <a:off x="10988641980" y="998220"/>
              <a:ext cx="1501140" cy="472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2=0.025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E71F936-6124-7267-D48F-2A12AA3F5B1A}"/>
                </a:ext>
              </a:extLst>
            </xdr:cNvPr>
            <xdr:cNvSpPr txBox="1"/>
          </xdr:nvSpPr>
          <xdr:spPr>
            <a:xfrm>
              <a:off x="10988641980" y="1470660"/>
              <a:ext cx="150114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=0.025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E71F936-6124-7267-D48F-2A12AA3F5B1A}"/>
                </a:ext>
              </a:extLst>
            </xdr:cNvPr>
            <xdr:cNvSpPr txBox="1"/>
          </xdr:nvSpPr>
          <xdr:spPr>
            <a:xfrm>
              <a:off x="10988641980" y="1470660"/>
              <a:ext cx="150114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2=0.025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A609A60-1CD8-1B60-DBE5-4DF5567935F5}"/>
                </a:ext>
              </a:extLst>
            </xdr:cNvPr>
            <xdr:cNvSpPr txBox="1"/>
          </xdr:nvSpPr>
          <xdr:spPr>
            <a:xfrm>
              <a:off x="10988641980" y="1851660"/>
              <a:ext cx="1501140" cy="464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=0.025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A609A60-1CD8-1B60-DBE5-4DF5567935F5}"/>
                </a:ext>
              </a:extLst>
            </xdr:cNvPr>
            <xdr:cNvSpPr txBox="1"/>
          </xdr:nvSpPr>
          <xdr:spPr>
            <a:xfrm>
              <a:off x="10988641980" y="1851660"/>
              <a:ext cx="1501140" cy="464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2=0.025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E554D6B-D79C-9DD1-55F9-05E3717F23C0}"/>
                </a:ext>
              </a:extLst>
            </xdr:cNvPr>
            <xdr:cNvSpPr txBox="1"/>
          </xdr:nvSpPr>
          <xdr:spPr>
            <a:xfrm>
              <a:off x="10988641980" y="2316480"/>
              <a:ext cx="1501140" cy="472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=0.025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E554D6B-D79C-9DD1-55F9-05E3717F23C0}"/>
                </a:ext>
              </a:extLst>
            </xdr:cNvPr>
            <xdr:cNvSpPr txBox="1"/>
          </xdr:nvSpPr>
          <xdr:spPr>
            <a:xfrm>
              <a:off x="10988641980" y="2316480"/>
              <a:ext cx="1501140" cy="472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2=0.025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69520F8-6A60-C2E2-7199-BBFA7F361498}"/>
                </a:ext>
              </a:extLst>
            </xdr:cNvPr>
            <xdr:cNvSpPr txBox="1"/>
          </xdr:nvSpPr>
          <xdr:spPr>
            <a:xfrm>
              <a:off x="11031695512" y="256953"/>
              <a:ext cx="2153093" cy="3278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</a:rPr>
                      <m:t>Ne</m:t>
                    </m:r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</a:rPr>
                      <m:t>Nm</m:t>
                    </m:r>
                    <m:r>
                      <a:rPr lang="en-US" sz="1100" i="0">
                        <a:latin typeface="Cambria Math" panose="02040503050406030204" pitchFamily="18" charset="0"/>
                      </a:rPr>
                      <m:t>×0.5905</m:t>
                    </m:r>
                  </m:oMath>
                </m:oMathPara>
              </a14:m>
              <a:endParaRPr lang="fa-IR" sz="1100" i="0"/>
            </a:p>
            <a:p>
              <a:pPr algn="r" rtl="1"/>
              <a:endParaRPr lang="fa-IR" sz="1100" i="0"/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Ne</m:t>
                    </m:r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=0.05×0.5905=0.0295</m:t>
                    </m:r>
                  </m:oMath>
                </m:oMathPara>
              </a14:m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Tex</m:t>
                    </m:r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0.05</m:t>
                        </m:r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000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 </m:t>
                    </m:r>
                    <m:f>
                      <m:fPr>
                        <m:ctrl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kg</m:t>
                        </m:r>
                      </m:den>
                    </m:f>
                  </m:oMath>
                </m:oMathPara>
              </a14:m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20,000</m:t>
                        </m:r>
                      </m:num>
                      <m:den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</m:t>
                        </m:r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=20 </m:t>
                    </m:r>
                    <m:f>
                      <m:fPr>
                        <m:ctrl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den>
                    </m:f>
                  </m:oMath>
                </m:oMathPara>
              </a14:m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rtl="1"/>
              <a14:m>
                <m:oMathPara xmlns:m="http://schemas.openxmlformats.org/officeDocument/2006/math">
                  <m:oMath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2=40</m:t>
                    </m:r>
                  </m:oMath>
                </m:oMathPara>
              </a14:m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rtl="1"/>
              <a:endParaRPr lang="fa-IR" i="0">
                <a:effectLst/>
              </a:endParaRPr>
            </a:p>
            <a:p>
              <a:pPr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Ne</m:t>
                    </m:r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=40×0.5905=23.62</m:t>
                    </m:r>
                  </m:oMath>
                </m:oMathPara>
              </a14:m>
              <a:endParaRPr lang="fa-IR" i="0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69520F8-6A60-C2E2-7199-BBFA7F361498}"/>
                </a:ext>
              </a:extLst>
            </xdr:cNvPr>
            <xdr:cNvSpPr txBox="1"/>
          </xdr:nvSpPr>
          <xdr:spPr>
            <a:xfrm>
              <a:off x="11031695512" y="256953"/>
              <a:ext cx="2153093" cy="3278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</a:rPr>
                <a:t>Ne=Nm×0.5905</a:t>
              </a:r>
              <a:endParaRPr lang="fa-IR" sz="1100" i="0"/>
            </a:p>
            <a:p>
              <a:pPr algn="r" rtl="1"/>
              <a:endParaRPr lang="fa-IR" sz="1100" i="0"/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Ne=0.05×0.5905=0.0295</a:t>
              </a:r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Tex=1000/0.05=20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 gr/kg</a:t>
              </a:r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20,000/1000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=20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 gr/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fa-IR" i="0">
                <a:effectLst/>
              </a:endParaRPr>
            </a:p>
            <a:p>
              <a:pPr rtl="1"/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2=40</a:t>
              </a:r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rtl="1"/>
              <a:endParaRPr lang="fa-IR" i="0">
                <a:effectLst/>
              </a:endParaRPr>
            </a:p>
            <a:p>
              <a:pPr rtl="1"/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Ne=40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0.5905=23.62</a:t>
              </a:r>
              <a:endParaRPr lang="fa-IR" i="0">
                <a:effectLst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014384-A98F-4DA1-BF5F-F8A300444BFA}"/>
                </a:ext>
              </a:extLst>
            </xdr:cNvPr>
            <xdr:cNvSpPr txBox="1"/>
          </xdr:nvSpPr>
          <xdr:spPr>
            <a:xfrm>
              <a:off x="8740475280" y="0"/>
              <a:ext cx="15011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𝐠𝐫</m:t>
                      </m:r>
                    </m:num>
                    <m:den>
                      <m:r>
                        <m:rPr>
                          <m:sty m:val="p"/>
                        </m:r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m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014384-A98F-4DA1-BF5F-F8A300444BFA}"/>
                </a:ext>
              </a:extLst>
            </xdr:cNvPr>
            <xdr:cNvSpPr txBox="1"/>
          </xdr:nvSpPr>
          <xdr:spPr>
            <a:xfrm>
              <a:off x="8740475280" y="0"/>
              <a:ext cx="15011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(𝐠𝐫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m)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A12DD7-B694-4F76-B881-804B27A9B6FC}"/>
                </a:ext>
              </a:extLst>
            </xdr:cNvPr>
            <xdr:cNvSpPr txBox="1"/>
          </xdr:nvSpPr>
          <xdr:spPr>
            <a:xfrm>
              <a:off x="10987879980" y="2065020"/>
              <a:ext cx="1272540" cy="434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=0.015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6A12DD7-B694-4F76-B881-804B27A9B6FC}"/>
                </a:ext>
              </a:extLst>
            </xdr:cNvPr>
            <xdr:cNvSpPr txBox="1"/>
          </xdr:nvSpPr>
          <xdr:spPr>
            <a:xfrm>
              <a:off x="10987879980" y="2065020"/>
              <a:ext cx="1272540" cy="4343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0.03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2=0.015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3C659F6-A06A-B468-F242-9F2847F559D7}"/>
                </a:ext>
              </a:extLst>
            </xdr:cNvPr>
            <xdr:cNvSpPr txBox="1"/>
          </xdr:nvSpPr>
          <xdr:spPr>
            <a:xfrm>
              <a:off x="10987879980" y="1645920"/>
              <a:ext cx="127254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=0.015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3C659F6-A06A-B468-F242-9F2847F559D7}"/>
                </a:ext>
              </a:extLst>
            </xdr:cNvPr>
            <xdr:cNvSpPr txBox="1"/>
          </xdr:nvSpPr>
          <xdr:spPr>
            <a:xfrm>
              <a:off x="10987879980" y="1645920"/>
              <a:ext cx="1272540" cy="419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0.03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2=0.015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F2162-FB5C-93FE-D646-0222EBD23FD7}"/>
                </a:ext>
              </a:extLst>
            </xdr:cNvPr>
            <xdr:cNvSpPr txBox="1"/>
          </xdr:nvSpPr>
          <xdr:spPr>
            <a:xfrm>
              <a:off x="10987879980" y="1181100"/>
              <a:ext cx="1272540" cy="464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=0.015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35F2162-FB5C-93FE-D646-0222EBD23FD7}"/>
                </a:ext>
              </a:extLst>
            </xdr:cNvPr>
            <xdr:cNvSpPr txBox="1"/>
          </xdr:nvSpPr>
          <xdr:spPr>
            <a:xfrm>
              <a:off x="10987879980" y="1181100"/>
              <a:ext cx="1272540" cy="464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0.03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2=0.015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78E1D83-8C10-1007-3611-5CF8ADB67708}"/>
                </a:ext>
              </a:extLst>
            </xdr:cNvPr>
            <xdr:cNvSpPr txBox="1"/>
          </xdr:nvSpPr>
          <xdr:spPr>
            <a:xfrm>
              <a:off x="10987879980" y="754380"/>
              <a:ext cx="127254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=0.015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78E1D83-8C10-1007-3611-5CF8ADB67708}"/>
                </a:ext>
              </a:extLst>
            </xdr:cNvPr>
            <xdr:cNvSpPr txBox="1"/>
          </xdr:nvSpPr>
          <xdr:spPr>
            <a:xfrm>
              <a:off x="10987879980" y="754380"/>
              <a:ext cx="1272540" cy="426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0.03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2=0.015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6A0EFBC-4061-613D-0309-5B76F92B6F94}"/>
                </a:ext>
              </a:extLst>
            </xdr:cNvPr>
            <xdr:cNvSpPr txBox="1"/>
          </xdr:nvSpPr>
          <xdr:spPr>
            <a:xfrm>
              <a:off x="10987879980" y="426720"/>
              <a:ext cx="127254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=0.015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6A0EFBC-4061-613D-0309-5B76F92B6F94}"/>
                </a:ext>
              </a:extLst>
            </xdr:cNvPr>
            <xdr:cNvSpPr txBox="1"/>
          </xdr:nvSpPr>
          <xdr:spPr>
            <a:xfrm>
              <a:off x="10987879980" y="426720"/>
              <a:ext cx="127254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0.03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2=0.015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A9CB4D1-999C-509F-2996-27B309F85D3E}"/>
                </a:ext>
              </a:extLst>
            </xdr:cNvPr>
            <xdr:cNvSpPr txBox="1"/>
          </xdr:nvSpPr>
          <xdr:spPr>
            <a:xfrm>
              <a:off x="10983772800" y="533400"/>
              <a:ext cx="286512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Ne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Nm</m:t>
                    </m:r>
                    <m:r>
                      <a:rPr lang="fa-IR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0.5905</m:t>
                    </m:r>
                  </m:oMath>
                </m:oMathPara>
              </a14:m>
              <a:endParaRPr lang="en-US" sz="1100" i="0">
                <a:ea typeface="Cambria Math" panose="02040503050406030204" pitchFamily="18" charset="0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Ne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=0.03×0.5905=0.0177</m:t>
                    </m:r>
                  </m:oMath>
                </m:oMathPara>
              </a14:m>
              <a:endParaRPr lang="en-US" sz="1100" i="0">
                <a:ea typeface="Cambria Math" panose="02040503050406030204" pitchFamily="18" charset="0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Tex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0.03</m:t>
                        </m:r>
                      </m:den>
                    </m:f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≃33</m:t>
                    </m:r>
                    <m:r>
                      <a:rPr lang="fa-IR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333.33 </m:t>
                    </m:r>
                    <m:f>
                      <m:fPr>
                        <m:ctrl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kg</m:t>
                        </m:r>
                      </m:den>
                    </m:f>
                  </m:oMath>
                </m:oMathPara>
              </a14:m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den>
                    </m:f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33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,333.33</m:t>
                        </m:r>
                      </m:num>
                      <m:den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</m:t>
                        </m:r>
                      </m:den>
                    </m:f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≃33.33 </m:t>
                    </m:r>
                    <m:f>
                      <m:fPr>
                        <m:ctrl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den>
                    </m:f>
                  </m:oMath>
                </m:oMathPara>
              </a14:m>
              <a:endParaRPr lang="en-US" sz="1100" b="0" i="0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3.33×2=66.66</m:t>
                    </m:r>
                  </m:oMath>
                </m:oMathPara>
              </a14:m>
              <a:endParaRPr i="0"/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Ne</m:t>
                    </m:r>
                    <m:r>
                      <a:rPr lang="en-US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=66.66×0.5905≃39.37</m:t>
                    </m:r>
                  </m:oMath>
                </m:oMathPara>
              </a14:m>
              <a:endParaRPr lang="en-US" sz="1100" i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A9CB4D1-999C-509F-2996-27B309F85D3E}"/>
                </a:ext>
              </a:extLst>
            </xdr:cNvPr>
            <xdr:cNvSpPr txBox="1"/>
          </xdr:nvSpPr>
          <xdr:spPr>
            <a:xfrm>
              <a:off x="10983772800" y="533400"/>
              <a:ext cx="286512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Ne=Nm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0.5905</a:t>
              </a:r>
              <a:endParaRPr lang="en-US" sz="1100" i="0">
                <a:ea typeface="Cambria Math" panose="02040503050406030204" pitchFamily="18" charset="0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Ne=0.03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0.5905=0.0177</a:t>
              </a:r>
              <a:endParaRPr lang="en-US" sz="1100" i="0">
                <a:ea typeface="Cambria Math" panose="02040503050406030204" pitchFamily="18" charset="0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Tex=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1000/0.03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≃33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,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333.33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 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gr/kg</a:t>
              </a:r>
              <a:endParaRPr lang="fa-IR" sz="1100" i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gr/m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33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,333.33/1000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≃33.33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 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gr/m</a:t>
              </a:r>
              <a:endParaRPr lang="en-US" sz="1100" b="0" i="0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Cambria Math" panose="02040503050406030204" pitchFamily="18" charset="0"/>
                <a:cs typeface="+mn-cs"/>
              </a:endParaRPr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3.33×2=66.66</a:t>
              </a:r>
              <a:endParaRPr i="0"/>
            </a:p>
            <a:p>
              <a:pPr algn="r" rtl="1"/>
              <a:endParaRPr lang="fa-IR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 algn="r" rtl="1"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Ne=66.66</a:t>
              </a:r>
              <a:r>
                <a:rPr lang="fa-I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0.5905≃39.37</a:t>
              </a:r>
              <a:endParaRPr lang="en-US" sz="1100" i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874543-04A5-4CE9-802E-F37FA78B162B}"/>
                </a:ext>
              </a:extLst>
            </xdr:cNvPr>
            <xdr:cNvSpPr txBox="1"/>
          </xdr:nvSpPr>
          <xdr:spPr>
            <a:xfrm>
              <a:off x="10987605660" y="0"/>
              <a:ext cx="12725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𝐠𝐫</m:t>
                      </m:r>
                    </m:num>
                    <m:den>
                      <m:r>
                        <m:rPr>
                          <m:sty m:val="p"/>
                        </m:r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m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B874543-04A5-4CE9-802E-F37FA78B162B}"/>
                </a:ext>
              </a:extLst>
            </xdr:cNvPr>
            <xdr:cNvSpPr txBox="1"/>
          </xdr:nvSpPr>
          <xdr:spPr>
            <a:xfrm>
              <a:off x="10987605660" y="0"/>
              <a:ext cx="12725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(𝐠𝐫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m)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D87966-F12E-4626-A41A-8FC51CF3B413}"/>
                </a:ext>
              </a:extLst>
            </xdr:cNvPr>
            <xdr:cNvSpPr txBox="1"/>
          </xdr:nvSpPr>
          <xdr:spPr>
            <a:xfrm>
              <a:off x="10985700660" y="342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0.05</m:t>
                        </m:r>
                      </m:num>
                      <m:den>
                        <m:r>
                          <a:rPr lang="fa-IR" sz="11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latin typeface="Cambria Math" panose="02040503050406030204" pitchFamily="18" charset="0"/>
                      </a:rPr>
                      <m:t>×1000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fa-IR" sz="1100" b="0" i="1">
                        <a:latin typeface="Cambria Math" panose="02040503050406030204" pitchFamily="18" charset="0"/>
                      </a:rPr>
                      <m:t>50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D87966-F12E-4626-A41A-8FC51CF3B413}"/>
                </a:ext>
              </a:extLst>
            </xdr:cNvPr>
            <xdr:cNvSpPr txBox="1"/>
          </xdr:nvSpPr>
          <xdr:spPr>
            <a:xfrm>
              <a:off x="10985700660" y="342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0.05</a:t>
              </a:r>
              <a:r>
                <a:rPr lang="fa-IR" sz="1100" b="0" i="0">
                  <a:latin typeface="Cambria Math" panose="02040503050406030204" pitchFamily="18" charset="0"/>
                </a:rPr>
                <a:t>/1×1000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fa-IR" sz="1100" b="0" i="0">
                  <a:latin typeface="Cambria Math" panose="02040503050406030204" pitchFamily="18" charset="0"/>
                </a:rPr>
                <a:t>50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584D5-E044-FED4-ACA6-D3C716A0952A}"/>
                </a:ext>
              </a:extLst>
            </xdr:cNvPr>
            <xdr:cNvSpPr txBox="1"/>
          </xdr:nvSpPr>
          <xdr:spPr>
            <a:xfrm>
              <a:off x="10985700660" y="723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×1000=50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6F584D5-E044-FED4-ACA6-D3C716A0952A}"/>
                </a:ext>
              </a:extLst>
            </xdr:cNvPr>
            <xdr:cNvSpPr txBox="1"/>
          </xdr:nvSpPr>
          <xdr:spPr>
            <a:xfrm>
              <a:off x="10985700660" y="723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0.05/1×1000=50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C19216-EF61-6EB1-4B13-15D6325405A7}"/>
                </a:ext>
              </a:extLst>
            </xdr:cNvPr>
            <xdr:cNvSpPr txBox="1"/>
          </xdr:nvSpPr>
          <xdr:spPr>
            <a:xfrm>
              <a:off x="10985700660" y="1485900"/>
              <a:ext cx="1089660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×1000=50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C19216-EF61-6EB1-4B13-15D6325405A7}"/>
                </a:ext>
              </a:extLst>
            </xdr:cNvPr>
            <xdr:cNvSpPr txBox="1"/>
          </xdr:nvSpPr>
          <xdr:spPr>
            <a:xfrm>
              <a:off x="10985700660" y="1485900"/>
              <a:ext cx="1089660" cy="3657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0.05/1×1000=50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21030A-0A8D-1765-469B-770F8F72FCC1}"/>
                </a:ext>
              </a:extLst>
            </xdr:cNvPr>
            <xdr:cNvSpPr txBox="1"/>
          </xdr:nvSpPr>
          <xdr:spPr>
            <a:xfrm>
              <a:off x="10985700660" y="1104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×1000=50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21030A-0A8D-1765-469B-770F8F72FCC1}"/>
                </a:ext>
              </a:extLst>
            </xdr:cNvPr>
            <xdr:cNvSpPr txBox="1"/>
          </xdr:nvSpPr>
          <xdr:spPr>
            <a:xfrm>
              <a:off x="10985700660" y="110490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0.05/1×1000=50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FECF20B-232D-0EB1-CA6D-E717FA5C56CD}"/>
                </a:ext>
              </a:extLst>
            </xdr:cNvPr>
            <xdr:cNvSpPr txBox="1"/>
          </xdr:nvSpPr>
          <xdr:spPr>
            <a:xfrm>
              <a:off x="10985700660" y="185166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×1000=50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FECF20B-232D-0EB1-CA6D-E717FA5C56CD}"/>
                </a:ext>
              </a:extLst>
            </xdr:cNvPr>
            <xdr:cNvSpPr txBox="1"/>
          </xdr:nvSpPr>
          <xdr:spPr>
            <a:xfrm>
              <a:off x="10985700660" y="1851660"/>
              <a:ext cx="1089660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0.05/1×1000=50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5E11A74-66EA-ABB6-6F73-B37EA1E7C9E1}"/>
                </a:ext>
              </a:extLst>
            </xdr:cNvPr>
            <xdr:cNvSpPr txBox="1"/>
          </xdr:nvSpPr>
          <xdr:spPr>
            <a:xfrm>
              <a:off x="10984527180" y="5334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0.0125</m:t>
                        </m:r>
                      </m:num>
                      <m:den>
                        <m:r>
                          <a:rPr lang="fa-IR" sz="11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latin typeface="Cambria Math" panose="02040503050406030204" pitchFamily="18" charset="0"/>
                      </a:rPr>
                      <m:t>×1000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fa-IR" sz="1100" b="0" i="1">
                        <a:latin typeface="Cambria Math" panose="02040503050406030204" pitchFamily="18" charset="0"/>
                      </a:rPr>
                      <m:t>12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.5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5E11A74-66EA-ABB6-6F73-B37EA1E7C9E1}"/>
                </a:ext>
              </a:extLst>
            </xdr:cNvPr>
            <xdr:cNvSpPr txBox="1"/>
          </xdr:nvSpPr>
          <xdr:spPr>
            <a:xfrm>
              <a:off x="10984527180" y="5334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0.0125</a:t>
              </a:r>
              <a:r>
                <a:rPr lang="fa-IR" sz="1100" b="0" i="0">
                  <a:latin typeface="Cambria Math" panose="02040503050406030204" pitchFamily="18" charset="0"/>
                </a:rPr>
                <a:t>/1×1000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fa-IR" sz="1100" b="0" i="0">
                  <a:latin typeface="Cambria Math" panose="02040503050406030204" pitchFamily="18" charset="0"/>
                </a:rPr>
                <a:t>12</a:t>
              </a:r>
              <a:r>
                <a:rPr lang="en-US" sz="1100" b="0" i="0">
                  <a:latin typeface="Cambria Math" panose="02040503050406030204" pitchFamily="18" charset="0"/>
                </a:rPr>
                <a:t>.5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EAE2EA-45C1-0838-8C9C-2671F0CA688B}"/>
                </a:ext>
              </a:extLst>
            </xdr:cNvPr>
            <xdr:cNvSpPr txBox="1"/>
          </xdr:nvSpPr>
          <xdr:spPr>
            <a:xfrm>
              <a:off x="10984527180" y="10668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0.0125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×1000=12.5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47EAE2EA-45C1-0838-8C9C-2671F0CA688B}"/>
                </a:ext>
              </a:extLst>
            </xdr:cNvPr>
            <xdr:cNvSpPr txBox="1"/>
          </xdr:nvSpPr>
          <xdr:spPr>
            <a:xfrm>
              <a:off x="10984527180" y="10668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0.0125/1×1000=12.5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B4F2573-7563-C07A-E2BF-CCF430FEE966}"/>
                </a:ext>
              </a:extLst>
            </xdr:cNvPr>
            <xdr:cNvSpPr txBox="1"/>
          </xdr:nvSpPr>
          <xdr:spPr>
            <a:xfrm>
              <a:off x="10984527180" y="16002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0.0125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×1000=12.5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B4F2573-7563-C07A-E2BF-CCF430FEE966}"/>
                </a:ext>
              </a:extLst>
            </xdr:cNvPr>
            <xdr:cNvSpPr txBox="1"/>
          </xdr:nvSpPr>
          <xdr:spPr>
            <a:xfrm>
              <a:off x="10984527180" y="16002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0.0125/1×1000=12.5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120245F-F73A-FA1C-9D7E-5F8E86D77619}"/>
                </a:ext>
              </a:extLst>
            </xdr:cNvPr>
            <xdr:cNvSpPr txBox="1"/>
          </xdr:nvSpPr>
          <xdr:spPr>
            <a:xfrm>
              <a:off x="10984527180" y="21336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0.0125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×1000=12.5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120245F-F73A-FA1C-9D7E-5F8E86D77619}"/>
                </a:ext>
              </a:extLst>
            </xdr:cNvPr>
            <xdr:cNvSpPr txBox="1"/>
          </xdr:nvSpPr>
          <xdr:spPr>
            <a:xfrm>
              <a:off x="10984527180" y="21336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0.0125/1×1000=12.5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AD4B921-411A-8E46-36E0-B27E6FD8C549}"/>
                </a:ext>
              </a:extLst>
            </xdr:cNvPr>
            <xdr:cNvSpPr txBox="1"/>
          </xdr:nvSpPr>
          <xdr:spPr>
            <a:xfrm>
              <a:off x="10984527180" y="26670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0.0125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×1000=12.5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AD4B921-411A-8E46-36E0-B27E6FD8C549}"/>
                </a:ext>
              </a:extLst>
            </xdr:cNvPr>
            <xdr:cNvSpPr txBox="1"/>
          </xdr:nvSpPr>
          <xdr:spPr>
            <a:xfrm>
              <a:off x="10984527180" y="2667000"/>
              <a:ext cx="15849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0.0125/1×1000=12.5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3E67AD4-0591-455E-5186-337FAA2D0946}"/>
                </a:ext>
              </a:extLst>
            </xdr:cNvPr>
            <xdr:cNvSpPr txBox="1"/>
          </xdr:nvSpPr>
          <xdr:spPr>
            <a:xfrm>
              <a:off x="10987453260" y="0"/>
              <a:ext cx="15240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𝐜𝐦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پودی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3E67AD4-0591-455E-5186-337FAA2D0946}"/>
                </a:ext>
              </a:extLst>
            </xdr:cNvPr>
            <xdr:cNvSpPr txBox="1"/>
          </xdr:nvSpPr>
          <xdr:spPr>
            <a:xfrm>
              <a:off x="10987453260" y="0"/>
              <a:ext cx="15240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(𝟏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𝐜𝐦)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پودی </a:t>
              </a:r>
            </a:p>
          </xdr:txBody>
        </xdr:sp>
      </mc:Fallback>
    </mc:AlternateContent>
    <xdr:clientData/>
  </xdr:twoCellAnchor>
  <xdr:twoCellAnchor>
    <xdr:from>
      <xdr:col>6</xdr:col>
      <xdr:colOff>15240</xdr:colOff>
      <xdr:row>1</xdr:row>
      <xdr:rowOff>0</xdr:rowOff>
    </xdr:from>
    <xdr:to>
      <xdr:col>7</xdr:col>
      <xdr:colOff>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118CC34-4E21-2E27-6486-8FFB1180CEA0}"/>
                </a:ext>
              </a:extLst>
            </xdr:cNvPr>
            <xdr:cNvSpPr txBox="1"/>
          </xdr:nvSpPr>
          <xdr:spPr>
            <a:xfrm>
              <a:off x="10981761120" y="533400"/>
              <a:ext cx="262890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0.4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i="0">
                        <a:latin typeface="Cambria Math" panose="02040503050406030204" pitchFamily="18" charset="0"/>
                      </a:rPr>
                      <m:t>=160</m:t>
                    </m:r>
                    <m:r>
                      <a:rPr lang="fa-IR" sz="1100" b="0" i="0"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en-US" sz="1100" b="0" i="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sup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b="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0.39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=156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0.41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=164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i="0"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118CC34-4E21-2E27-6486-8FFB1180CEA0}"/>
                </a:ext>
              </a:extLst>
            </xdr:cNvPr>
            <xdr:cNvSpPr txBox="1"/>
          </xdr:nvSpPr>
          <xdr:spPr>
            <a:xfrm>
              <a:off x="10981761120" y="533400"/>
              <a:ext cx="262890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0.4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fa-IR" sz="1100" b="0" i="0">
                  <a:latin typeface="Cambria Math" panose="02040503050406030204" pitchFamily="18" charset="0"/>
                </a:rPr>
                <a:t>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i="0">
                  <a:latin typeface="Cambria Math" panose="02040503050406030204" pitchFamily="18" charset="0"/>
                </a:rPr>
                <a:t>=160</a:t>
              </a:r>
              <a:r>
                <a:rPr lang="fa-IR" sz="1100" b="0" i="0">
                  <a:latin typeface="Cambria Math" panose="02040503050406030204" pitchFamily="18" charset="0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US" sz="1100" b="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(0.39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cm^2 )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^2)/(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=156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/m^2 </a:t>
              </a:r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endParaRPr lang="en-US" sz="1100" i="0">
                <a:latin typeface="Cambria Math" panose="02040503050406030204" pitchFamily="18" charset="0"/>
              </a:endParaRPr>
            </a:p>
            <a:p>
              <a:pPr algn="r" rtl="1"/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(0.41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cm^2 )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^2)/(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=164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/m^2 </a:t>
              </a:r>
              <a:endParaRPr lang="en-US" sz="1100" i="0"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87BF40C-A8FA-DD3F-3662-11AEAEC2D7FD}"/>
                </a:ext>
              </a:extLst>
            </xdr:cNvPr>
            <xdr:cNvSpPr txBox="1"/>
          </xdr:nvSpPr>
          <xdr:spPr>
            <a:xfrm>
              <a:off x="10988596260" y="0"/>
              <a:ext cx="9220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𝐜𝐦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تاری </a:t>
              </a:r>
              <a:r>
                <a:rPr lang="en-US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 </a:t>
              </a:r>
              <a:endParaRPr lang="fa-IR" sz="1200" b="1" i="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87BF40C-A8FA-DD3F-3662-11AEAEC2D7FD}"/>
                </a:ext>
              </a:extLst>
            </xdr:cNvPr>
            <xdr:cNvSpPr txBox="1"/>
          </xdr:nvSpPr>
          <xdr:spPr>
            <a:xfrm>
              <a:off x="10988596260" y="0"/>
              <a:ext cx="9220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(𝟏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𝐜𝐦)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تاری </a:t>
              </a:r>
              <a:r>
                <a:rPr lang="en-US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 </a:t>
              </a:r>
              <a:endParaRPr lang="fa-IR" sz="1200" b="1" i="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472306A-0283-9C7C-13F3-8F229CECCFC4}"/>
                </a:ext>
              </a:extLst>
            </xdr:cNvPr>
            <xdr:cNvSpPr txBox="1"/>
          </xdr:nvSpPr>
          <xdr:spPr>
            <a:xfrm>
              <a:off x="10990501260" y="0"/>
              <a:ext cx="83058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𝐠𝐫</m:t>
                      </m:r>
                    </m:num>
                    <m:den>
                      <m:sSup>
                        <m:sSupPr>
                          <m:ctrlP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𝐦</m:t>
                          </m:r>
                        </m:e>
                        <m:sup>
                          <m: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472306A-0283-9C7C-13F3-8F229CECCFC4}"/>
                </a:ext>
              </a:extLst>
            </xdr:cNvPr>
            <xdr:cNvSpPr txBox="1"/>
          </xdr:nvSpPr>
          <xdr:spPr>
            <a:xfrm>
              <a:off x="10990501260" y="0"/>
              <a:ext cx="83058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(𝐠𝐫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𝐦^𝟐 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Fallback>
    </mc:AlternateContent>
    <xdr:clientData/>
  </xdr:twoCellAnchor>
  <xdr:twoCellAnchor>
    <xdr:from>
      <xdr:col>1</xdr:col>
      <xdr:colOff>594360</xdr:colOff>
      <xdr:row>7</xdr:row>
      <xdr:rowOff>0</xdr:rowOff>
    </xdr:from>
    <xdr:to>
      <xdr:col>1</xdr:col>
      <xdr:colOff>1333500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E45399D-D508-CD4F-2772-5558A1F3E0D7}"/>
                </a:ext>
              </a:extLst>
            </xdr:cNvPr>
            <xdr:cNvSpPr txBox="1"/>
          </xdr:nvSpPr>
          <xdr:spPr>
            <a:xfrm>
              <a:off x="8743607100" y="3733800"/>
              <a:ext cx="7391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Para xmlns:m="http://schemas.openxmlformats.org/officeDocument/2006/math">
                  <m:oMath>
                    <m:r>
                      <a:rPr lang="en-US" sz="1200" b="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1</m:t>
                    </m:r>
                    <m:r>
                      <m:rPr>
                        <m:sty m:val="p"/>
                      </m:rPr>
                      <a:rPr lang="en-US" sz="1200" b="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m</m:t>
                    </m:r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⟵</m:t>
                    </m:r>
                  </m:oMath>
                  <m:oMath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0.0125</m:t>
                    </m:r>
                  </m:oMath>
                </m:oMathPara>
              </a14:m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E45399D-D508-CD4F-2772-5558A1F3E0D7}"/>
                </a:ext>
              </a:extLst>
            </xdr:cNvPr>
            <xdr:cNvSpPr txBox="1"/>
          </xdr:nvSpPr>
          <xdr:spPr>
            <a:xfrm>
              <a:off x="8743607100" y="3733800"/>
              <a:ext cx="73914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1m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⟵</a:t>
              </a:r>
              <a:br>
                <a:rPr lang="en-US" sz="1200" b="0" i="1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</a:b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0.012</a:t>
              </a:r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5</a:t>
              </a:r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  <xdr:twoCellAnchor>
    <xdr:from>
      <xdr:col>2</xdr:col>
      <xdr:colOff>0</xdr:colOff>
      <xdr:row>7</xdr:row>
      <xdr:rowOff>0</xdr:rowOff>
    </xdr:from>
    <xdr:to>
      <xdr:col>4</xdr:col>
      <xdr:colOff>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2186559-D7AA-6F2A-DE96-88B4970200CA}"/>
                </a:ext>
              </a:extLst>
            </xdr:cNvPr>
            <xdr:cNvSpPr txBox="1"/>
          </xdr:nvSpPr>
          <xdr:spPr>
            <a:xfrm>
              <a:off x="8740825800" y="3733800"/>
              <a:ext cx="27432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fa-IR" sz="1200" b="0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0.05</m:t>
                  </m:r>
                  <m:r>
                    <a:rPr lang="en-US" sz="1200" b="0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⟵</m:t>
                  </m:r>
                </m:oMath>
              </a14:m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B Nazanin" panose="00000400000000000000" pitchFamily="2" charset="-78"/>
                </a:rPr>
                <a:t>وزن یک متر نخ تار پنبه </a:t>
              </a:r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2186559-D7AA-6F2A-DE96-88B4970200CA}"/>
                </a:ext>
              </a:extLst>
            </xdr:cNvPr>
            <xdr:cNvSpPr txBox="1"/>
          </xdr:nvSpPr>
          <xdr:spPr>
            <a:xfrm>
              <a:off x="8740825800" y="3733800"/>
              <a:ext cx="27432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0.05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⟵</a:t>
              </a:r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B Nazanin" panose="00000400000000000000" pitchFamily="2" charset="-78"/>
                </a:rPr>
                <a:t>وزن یک متر نخ تار پنبه </a:t>
              </a:r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  <xdr:twoCellAnchor>
    <xdr:from>
      <xdr:col>4</xdr:col>
      <xdr:colOff>0</xdr:colOff>
      <xdr:row>7</xdr:row>
      <xdr:rowOff>0</xdr:rowOff>
    </xdr:from>
    <xdr:to>
      <xdr:col>6</xdr:col>
      <xdr:colOff>0</xdr:colOff>
      <xdr:row>8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0F2BEF-86CE-EB82-3C1A-BA23C27E8751}"/>
                </a:ext>
              </a:extLst>
            </xdr:cNvPr>
            <xdr:cNvSpPr txBox="1"/>
          </xdr:nvSpPr>
          <xdr:spPr>
            <a:xfrm>
              <a:off x="10984405260" y="3733800"/>
              <a:ext cx="30480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tex</m:t>
                    </m:r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m</m:t>
                        </m:r>
                      </m:den>
                    </m:f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</m:t>
                    </m:r>
                  </m:oMath>
                </m:oMathPara>
              </a14:m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0F2BEF-86CE-EB82-3C1A-BA23C27E8751}"/>
                </a:ext>
              </a:extLst>
            </xdr:cNvPr>
            <xdr:cNvSpPr txBox="1"/>
          </xdr:nvSpPr>
          <xdr:spPr>
            <a:xfrm>
              <a:off x="10984405260" y="3733800"/>
              <a:ext cx="30480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tex=gr</a:t>
              </a:r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×1000</a:t>
              </a:r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0</xdr:rowOff>
    </xdr:from>
    <xdr:to>
      <xdr:col>4</xdr:col>
      <xdr:colOff>1432560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FFB76F-8934-43D8-AE13-4310E055F324}"/>
                </a:ext>
              </a:extLst>
            </xdr:cNvPr>
            <xdr:cNvSpPr txBox="1"/>
          </xdr:nvSpPr>
          <xdr:spPr>
            <a:xfrm>
              <a:off x="10985563500" y="5334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0.0167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×1000=16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.7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FFB76F-8934-43D8-AE13-4310E055F324}"/>
                </a:ext>
              </a:extLst>
            </xdr:cNvPr>
            <xdr:cNvSpPr txBox="1"/>
          </xdr:nvSpPr>
          <xdr:spPr>
            <a:xfrm>
              <a:off x="10985563500" y="5334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167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×1000=1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6.7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53340</xdr:colOff>
      <xdr:row>2</xdr:row>
      <xdr:rowOff>0</xdr:rowOff>
    </xdr:from>
    <xdr:to>
      <xdr:col>4</xdr:col>
      <xdr:colOff>1432560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18B5EC2-74DB-6101-3036-C0A0EF3C623A}"/>
                </a:ext>
              </a:extLst>
            </xdr:cNvPr>
            <xdr:cNvSpPr txBox="1"/>
          </xdr:nvSpPr>
          <xdr:spPr>
            <a:xfrm>
              <a:off x="10985563500" y="10668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0.0167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×1000=16.7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18B5EC2-74DB-6101-3036-C0A0EF3C623A}"/>
                </a:ext>
              </a:extLst>
            </xdr:cNvPr>
            <xdr:cNvSpPr txBox="1"/>
          </xdr:nvSpPr>
          <xdr:spPr>
            <a:xfrm>
              <a:off x="10985563500" y="10668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0.0167/1×1000=16.7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53340</xdr:colOff>
      <xdr:row>3</xdr:row>
      <xdr:rowOff>0</xdr:rowOff>
    </xdr:from>
    <xdr:to>
      <xdr:col>4</xdr:col>
      <xdr:colOff>1432560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2A8DDB3-1DC6-ACCC-6DC1-E989587E4AC5}"/>
                </a:ext>
              </a:extLst>
            </xdr:cNvPr>
            <xdr:cNvSpPr txBox="1"/>
          </xdr:nvSpPr>
          <xdr:spPr>
            <a:xfrm>
              <a:off x="10985563500" y="16002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0.0167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×1000=16.7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2A8DDB3-1DC6-ACCC-6DC1-E989587E4AC5}"/>
                </a:ext>
              </a:extLst>
            </xdr:cNvPr>
            <xdr:cNvSpPr txBox="1"/>
          </xdr:nvSpPr>
          <xdr:spPr>
            <a:xfrm>
              <a:off x="10985563500" y="16002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0.0167/1×1000=16.7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53340</xdr:colOff>
      <xdr:row>4</xdr:row>
      <xdr:rowOff>0</xdr:rowOff>
    </xdr:from>
    <xdr:to>
      <xdr:col>4</xdr:col>
      <xdr:colOff>1432560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69A3046-4A86-0F06-01CF-B54C7AD1FDBD}"/>
                </a:ext>
              </a:extLst>
            </xdr:cNvPr>
            <xdr:cNvSpPr txBox="1"/>
          </xdr:nvSpPr>
          <xdr:spPr>
            <a:xfrm>
              <a:off x="10985563500" y="21336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0.0167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×1000=16.7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69A3046-4A86-0F06-01CF-B54C7AD1FDBD}"/>
                </a:ext>
              </a:extLst>
            </xdr:cNvPr>
            <xdr:cNvSpPr txBox="1"/>
          </xdr:nvSpPr>
          <xdr:spPr>
            <a:xfrm>
              <a:off x="10985563500" y="21336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0.0167/1×1000=16.7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53340</xdr:colOff>
      <xdr:row>5</xdr:row>
      <xdr:rowOff>0</xdr:rowOff>
    </xdr:from>
    <xdr:to>
      <xdr:col>4</xdr:col>
      <xdr:colOff>1432560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B28883-9702-72CC-B92F-FC2243B4A373}"/>
                </a:ext>
              </a:extLst>
            </xdr:cNvPr>
            <xdr:cNvSpPr txBox="1"/>
          </xdr:nvSpPr>
          <xdr:spPr>
            <a:xfrm>
              <a:off x="10985563500" y="26670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0.0167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×1000=16.7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1B28883-9702-72CC-B92F-FC2243B4A373}"/>
                </a:ext>
              </a:extLst>
            </xdr:cNvPr>
            <xdr:cNvSpPr txBox="1"/>
          </xdr:nvSpPr>
          <xdr:spPr>
            <a:xfrm>
              <a:off x="10985563500" y="2667000"/>
              <a:ext cx="13792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0.0167/1×1000=16.7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1491437</xdr:colOff>
      <xdr:row>1</xdr:row>
      <xdr:rowOff>0</xdr:rowOff>
    </xdr:from>
    <xdr:to>
      <xdr:col>6</xdr:col>
      <xdr:colOff>1292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142C238-812F-5DAC-EB36-EAD2758C57B1}"/>
                </a:ext>
              </a:extLst>
            </xdr:cNvPr>
            <xdr:cNvSpPr txBox="1"/>
          </xdr:nvSpPr>
          <xdr:spPr>
            <a:xfrm>
              <a:off x="10988644400" y="534051"/>
              <a:ext cx="1473189" cy="5340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0.01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latin typeface="Cambria Math" panose="02040503050406030204" pitchFamily="18" charset="0"/>
                      </a:rPr>
                      <m:t>×1000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fa-IR" sz="1100" b="0" i="1">
                        <a:latin typeface="Cambria Math" panose="02040503050406030204" pitchFamily="18" charset="0"/>
                      </a:rPr>
                      <m:t>1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fa-IR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142C238-812F-5DAC-EB36-EAD2758C57B1}"/>
                </a:ext>
              </a:extLst>
            </xdr:cNvPr>
            <xdr:cNvSpPr txBox="1"/>
          </xdr:nvSpPr>
          <xdr:spPr>
            <a:xfrm>
              <a:off x="10988644400" y="534051"/>
              <a:ext cx="1473189" cy="5340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b="0" i="0">
                  <a:latin typeface="Cambria Math" panose="02040503050406030204" pitchFamily="18" charset="0"/>
                </a:rPr>
                <a:t>0.01</a:t>
              </a:r>
              <a:r>
                <a:rPr lang="fa-IR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fa-IR" sz="1100" b="0" i="0">
                  <a:latin typeface="Cambria Math" panose="02040503050406030204" pitchFamily="18" charset="0"/>
                </a:rPr>
                <a:t>×1000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r>
                <a:rPr lang="fa-IR" sz="1100" b="0" i="0">
                  <a:latin typeface="Cambria Math" panose="02040503050406030204" pitchFamily="18" charset="0"/>
                </a:rPr>
                <a:t>1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fa-IR" sz="1100"/>
            </a:p>
          </xdr:txBody>
        </xdr:sp>
      </mc:Fallback>
    </mc:AlternateContent>
    <xdr:clientData/>
  </xdr:twoCellAnchor>
  <xdr:twoCellAnchor>
    <xdr:from>
      <xdr:col>5</xdr:col>
      <xdr:colOff>0</xdr:colOff>
      <xdr:row>2</xdr:row>
      <xdr:rowOff>0</xdr:rowOff>
    </xdr:from>
    <xdr:to>
      <xdr:col>6</xdr:col>
      <xdr:colOff>1291</xdr:colOff>
      <xdr:row>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4F8A40-06FD-BFDA-9E24-F620EB35C6B0}"/>
                </a:ext>
              </a:extLst>
            </xdr:cNvPr>
            <xdr:cNvSpPr txBox="1"/>
          </xdr:nvSpPr>
          <xdr:spPr>
            <a:xfrm>
              <a:off x="10988644401" y="1068103"/>
              <a:ext cx="1453650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4F8A40-06FD-BFDA-9E24-F620EB35C6B0}"/>
                </a:ext>
              </a:extLst>
            </xdr:cNvPr>
            <xdr:cNvSpPr txBox="1"/>
          </xdr:nvSpPr>
          <xdr:spPr>
            <a:xfrm>
              <a:off x="10988644401" y="1068103"/>
              <a:ext cx="1453650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0.01/1×1000=10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1491436</xdr:colOff>
      <xdr:row>3</xdr:row>
      <xdr:rowOff>0</xdr:rowOff>
    </xdr:from>
    <xdr:to>
      <xdr:col>6</xdr:col>
      <xdr:colOff>1291</xdr:colOff>
      <xdr:row>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5A44B61-5613-821B-0F2D-474949B092A9}"/>
                </a:ext>
              </a:extLst>
            </xdr:cNvPr>
            <xdr:cNvSpPr txBox="1"/>
          </xdr:nvSpPr>
          <xdr:spPr>
            <a:xfrm>
              <a:off x="10988644401" y="1602154"/>
              <a:ext cx="1473189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5A44B61-5613-821B-0F2D-474949B092A9}"/>
                </a:ext>
              </a:extLst>
            </xdr:cNvPr>
            <xdr:cNvSpPr txBox="1"/>
          </xdr:nvSpPr>
          <xdr:spPr>
            <a:xfrm>
              <a:off x="10988644401" y="1602154"/>
              <a:ext cx="1473189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0.01/1×1000=10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1504463</xdr:colOff>
      <xdr:row>4</xdr:row>
      <xdr:rowOff>0</xdr:rowOff>
    </xdr:from>
    <xdr:to>
      <xdr:col>6</xdr:col>
      <xdr:colOff>1292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CF0026-AE94-754C-3C0A-94F658E6AA21}"/>
                </a:ext>
              </a:extLst>
            </xdr:cNvPr>
            <xdr:cNvSpPr txBox="1"/>
          </xdr:nvSpPr>
          <xdr:spPr>
            <a:xfrm>
              <a:off x="10988644400" y="2136205"/>
              <a:ext cx="1460163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3CF0026-AE94-754C-3C0A-94F658E6AA21}"/>
                </a:ext>
              </a:extLst>
            </xdr:cNvPr>
            <xdr:cNvSpPr txBox="1"/>
          </xdr:nvSpPr>
          <xdr:spPr>
            <a:xfrm>
              <a:off x="10988644400" y="2136205"/>
              <a:ext cx="1460163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0.01/1×1000=10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4</xdr:col>
      <xdr:colOff>1497949</xdr:colOff>
      <xdr:row>5</xdr:row>
      <xdr:rowOff>0</xdr:rowOff>
    </xdr:from>
    <xdr:to>
      <xdr:col>6</xdr:col>
      <xdr:colOff>1291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58BB88-63B4-F4D3-0C41-A1A98719CA44}"/>
                </a:ext>
              </a:extLst>
            </xdr:cNvPr>
            <xdr:cNvSpPr txBox="1"/>
          </xdr:nvSpPr>
          <xdr:spPr>
            <a:xfrm>
              <a:off x="10988644401" y="2670256"/>
              <a:ext cx="1466676" cy="5340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0.01</m:t>
                        </m:r>
                      </m:num>
                      <m:den>
                        <m:r>
                          <a:rPr lang="fa-I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den>
                    </m:f>
                    <m:r>
                      <a:rPr lang="fa-I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×1000=10</m:t>
                    </m:r>
                  </m:oMath>
                </m:oMathPara>
              </a14:m>
              <a:endParaRPr lang="fa-IR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C58BB88-63B4-F4D3-0C41-A1A98719CA44}"/>
                </a:ext>
              </a:extLst>
            </xdr:cNvPr>
            <xdr:cNvSpPr txBox="1"/>
          </xdr:nvSpPr>
          <xdr:spPr>
            <a:xfrm>
              <a:off x="10988644401" y="2670256"/>
              <a:ext cx="1466676" cy="5340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rtl="1"/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0.01/1×1000=10</a:t>
              </a:r>
              <a:endParaRPr lang="fa-IR">
                <a:effectLst/>
              </a:endParaRPr>
            </a:p>
          </xdr:txBody>
        </xdr:sp>
      </mc:Fallback>
    </mc:AlternateContent>
    <xdr:clientData/>
  </xdr:twoCellAnchor>
  <xdr:twoCellAnchor>
    <xdr:from>
      <xdr:col>6</xdr:col>
      <xdr:colOff>38100</xdr:colOff>
      <xdr:row>1</xdr:row>
      <xdr:rowOff>0</xdr:rowOff>
    </xdr:from>
    <xdr:to>
      <xdr:col>6</xdr:col>
      <xdr:colOff>2910840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65E0C9-B5C0-AED3-F1AC-8E0943F7D03D}"/>
                </a:ext>
              </a:extLst>
            </xdr:cNvPr>
            <xdr:cNvSpPr txBox="1"/>
          </xdr:nvSpPr>
          <xdr:spPr>
            <a:xfrm>
              <a:off x="10981822080" y="533400"/>
              <a:ext cx="287274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0.21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=84</m:t>
                    </m:r>
                    <m:r>
                      <a:rPr lang="fa-IR" sz="1100" b="0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f>
                      <m:fPr>
                        <m:type m:val="skw"/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en-US" sz="1100" b="0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</a:rPr>
                              <m:t>m</m:t>
                            </m:r>
                          </m:e>
                          <m:sup>
                            <m:r>
                              <a:rPr lang="en-US" b="0" i="0">
                                <a:effectLst/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a-IR" sz="1100" b="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algn="r" rtl="1"/>
              <a:endParaRPr lang="fa-IR" sz="1100" b="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type m:val="skw"/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a-IR" sz="110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algn="r" rtl="1"/>
              <a:endParaRPr lang="fa-IR" sz="110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type m:val="skw"/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a-IR" i="0">
                <a:effectLst/>
              </a:endParaRPr>
            </a:p>
            <a:p>
              <a:pPr algn="r" rtl="1"/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19 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76 </m:t>
                    </m:r>
                    <m:f>
                      <m:fPr>
                        <m:type m:val="skw"/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a-IR" i="0">
                <a:effectLst/>
              </a:endParaRPr>
            </a:p>
            <a:p>
              <a:pPr algn="r" rtl="1"/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0.20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25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000</m:t>
                        </m:r>
                      </m:num>
                      <m:den>
                        <m: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fa-IR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p>
                          <m:sSupPr>
                            <m:ctrl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fa-IR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=80</m:t>
                    </m:r>
                    <m:r>
                      <a:rPr lang="fa-IR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type m:val="skw"/>
                        <m:ctrl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a-IR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gr</m:t>
                        </m:r>
                      </m:num>
                      <m:den>
                        <m:sSup>
                          <m:sSupPr>
                            <m:ctrl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m</m:t>
                            </m:r>
                          </m:e>
                          <m:sup>
                            <m:r>
                              <a:rPr lang="fa-IR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a-IR" i="0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765E0C9-B5C0-AED3-F1AC-8E0943F7D03D}"/>
                </a:ext>
              </a:extLst>
            </xdr:cNvPr>
            <xdr:cNvSpPr txBox="1"/>
          </xdr:nvSpPr>
          <xdr:spPr>
            <a:xfrm>
              <a:off x="10981822080" y="533400"/>
              <a:ext cx="2872740" cy="2667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10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0.21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</a:t>
              </a:r>
              <a:r>
                <a:rPr lang="en-US" sz="110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fa-IR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=84</a:t>
              </a:r>
              <a:r>
                <a:rPr lang="fa-IR" sz="11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gr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⁄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</a:rPr>
                <a:t>m</a:t>
              </a:r>
              <a:r>
                <a:rPr lang="fa-IR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</a:rPr>
                <a:t>^</a:t>
              </a:r>
              <a:r>
                <a:rPr lang="en-US" b="0" i="0">
                  <a:effectLst/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</a:rPr>
                <a:t> </a:t>
              </a:r>
              <a:endParaRPr lang="fa-IR" sz="1100" b="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algn="r" rtl="1"/>
              <a:endParaRPr lang="fa-IR" sz="1100" b="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(0.20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=80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⁄m^2 </a:t>
              </a:r>
              <a:endParaRPr lang="fa-IR" sz="110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algn="r" rtl="1"/>
              <a:endParaRPr lang="fa-IR" sz="1100" i="0">
                <a:solidFill>
                  <a:sysClr val="windowText" lastClr="000000"/>
                </a:solidFill>
                <a:latin typeface="Cambria Math" panose="02040503050406030204" pitchFamily="18" charset="0"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(0.20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=80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⁄m^2 </a:t>
              </a:r>
              <a:endParaRPr lang="fa-IR" i="0">
                <a:effectLst/>
              </a:endParaRPr>
            </a:p>
            <a:p>
              <a:pPr algn="r" rtl="1"/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19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76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⁄m^2 </a:t>
              </a:r>
              <a:endParaRPr lang="fa-IR" i="0">
                <a:effectLst/>
              </a:endParaRPr>
            </a:p>
            <a:p>
              <a:pPr algn="r" rtl="1"/>
              <a:endParaRPr lang="fa-IR" i="0">
                <a:effectLst/>
              </a:endParaRPr>
            </a:p>
            <a:p>
              <a:pPr marL="0" marR="0" lvl="0" indent="0" algn="r" defTabSz="914400" rtl="1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(0.20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gr)/(25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^2 )×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000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m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^2 )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=80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fa-I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gr</a:t>
              </a:r>
              <a:r>
                <a:rPr lang="fa-I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⁄m^2 </a:t>
              </a:r>
              <a:endParaRPr lang="fa-IR" i="0">
                <a:effectLst/>
              </a:endParaRP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322A780-96C0-4017-B668-7082A07F7350}"/>
                </a:ext>
              </a:extLst>
            </xdr:cNvPr>
            <xdr:cNvSpPr txBox="1"/>
          </xdr:nvSpPr>
          <xdr:spPr>
            <a:xfrm>
              <a:off x="10987659000" y="5334000"/>
              <a:ext cx="11125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𝐜𝐦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پودی </a:t>
              </a: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322A780-96C0-4017-B668-7082A07F7350}"/>
                </a:ext>
              </a:extLst>
            </xdr:cNvPr>
            <xdr:cNvSpPr txBox="1"/>
          </xdr:nvSpPr>
          <xdr:spPr>
            <a:xfrm>
              <a:off x="10987659000" y="5334000"/>
              <a:ext cx="111252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(𝟏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𝐜𝐦)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پودی 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5CA3ADE-CFF2-46E4-B99B-11681F3FF590}"/>
                </a:ext>
              </a:extLst>
            </xdr:cNvPr>
            <xdr:cNvSpPr txBox="1"/>
          </xdr:nvSpPr>
          <xdr:spPr>
            <a:xfrm>
              <a:off x="10988771520" y="5334000"/>
              <a:ext cx="12192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𝟏</m:t>
                      </m:r>
                    </m:num>
                    <m:den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𝐜𝐦</m:t>
                      </m:r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تاری </a:t>
              </a:r>
              <a:r>
                <a:rPr lang="en-US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 </a:t>
              </a:r>
              <a:endParaRPr lang="fa-IR" sz="1200" b="1" i="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5CA3ADE-CFF2-46E4-B99B-11681F3FF590}"/>
                </a:ext>
              </a:extLst>
            </xdr:cNvPr>
            <xdr:cNvSpPr txBox="1"/>
          </xdr:nvSpPr>
          <xdr:spPr>
            <a:xfrm>
              <a:off x="10988771520" y="5334000"/>
              <a:ext cx="121920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(𝟏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𝐜𝐦)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تراکم تاری </a:t>
              </a:r>
              <a:r>
                <a:rPr lang="en-US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 </a:t>
              </a:r>
              <a:endParaRPr lang="fa-IR" sz="1200" b="1" i="0">
                <a:solidFill>
                  <a:schemeClr val="bg1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7051AE9-BB26-4942-B1AE-C860D7B7C4A3}"/>
                </a:ext>
              </a:extLst>
            </xdr:cNvPr>
            <xdr:cNvSpPr txBox="1"/>
          </xdr:nvSpPr>
          <xdr:spPr>
            <a:xfrm>
              <a:off x="10989990720" y="0"/>
              <a:ext cx="13182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 xmlns:m="http://schemas.openxmlformats.org/officeDocument/2006/math"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(</m:t>
                  </m:r>
                  <m:f>
                    <m:fPr>
                      <m:type m:val="skw"/>
                      <m:ctrlP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200" b="1" i="0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𝐠𝐫</m:t>
                      </m:r>
                    </m:num>
                    <m:den>
                      <m:sSup>
                        <m:sSupPr>
                          <m:ctrlP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𝐦</m:t>
                          </m:r>
                        </m:e>
                        <m:sup>
                          <m:r>
                            <a:rPr lang="en-US" sz="1200" b="1" i="0">
                              <a:solidFill>
                                <a:schemeClr val="bg1"/>
                              </a:solidFill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den>
                  </m:f>
                  <m:r>
                    <a:rPr lang="en-US" sz="1200" b="1" i="0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7051AE9-BB26-4942-B1AE-C860D7B7C4A3}"/>
                </a:ext>
              </a:extLst>
            </xdr:cNvPr>
            <xdr:cNvSpPr txBox="1"/>
          </xdr:nvSpPr>
          <xdr:spPr>
            <a:xfrm>
              <a:off x="10989990720" y="0"/>
              <a:ext cx="1318260" cy="5334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(𝐠𝐫</a:t>
              </a:r>
              <a:r>
                <a:rPr lang="fa-IR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⁄</a:t>
              </a:r>
              <a:r>
                <a:rPr lang="en-US" sz="12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𝐦^𝟐 )</a:t>
              </a:r>
              <a:r>
                <a:rPr lang="fa-IR" sz="1200" b="1" i="0">
                  <a:solidFill>
                    <a:schemeClr val="bg1"/>
                  </a:solidFill>
                  <a:cs typeface="B Nazanin" panose="00000400000000000000" pitchFamily="2" charset="-78"/>
                </a:rPr>
                <a:t>وزن 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6</xdr:row>
      <xdr:rowOff>534050</xdr:rowOff>
    </xdr:from>
    <xdr:to>
      <xdr:col>6</xdr:col>
      <xdr:colOff>1</xdr:colOff>
      <xdr:row>7</xdr:row>
      <xdr:rowOff>534050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23DCE26-C311-4341-9F9F-E371BA561D36}"/>
                </a:ext>
              </a:extLst>
            </xdr:cNvPr>
            <xdr:cNvSpPr txBox="1"/>
          </xdr:nvSpPr>
          <xdr:spPr>
            <a:xfrm>
              <a:off x="10988645692" y="3738358"/>
              <a:ext cx="3074052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tex</m:t>
                    </m:r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gr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2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m</m:t>
                        </m:r>
                      </m:den>
                    </m:f>
                    <m:r>
                      <a:rPr lang="en-US" sz="12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</m:t>
                    </m:r>
                  </m:oMath>
                </m:oMathPara>
              </a14:m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23DCE26-C311-4341-9F9F-E371BA561D36}"/>
                </a:ext>
              </a:extLst>
            </xdr:cNvPr>
            <xdr:cNvSpPr txBox="1"/>
          </xdr:nvSpPr>
          <xdr:spPr>
            <a:xfrm>
              <a:off x="10988645692" y="3738358"/>
              <a:ext cx="3074052" cy="534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ctr" rtl="0"/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tex=gr</a:t>
              </a:r>
              <a:r>
                <a:rPr lang="fa-IR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m</a:t>
              </a:r>
              <a:r>
                <a:rPr lang="en-US" sz="12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×1000</a:t>
              </a:r>
              <a:endParaRPr lang="fa-IR" sz="1200" b="0" i="0">
                <a:solidFill>
                  <a:sysClr val="windowText" lastClr="000000"/>
                </a:solidFill>
                <a:cs typeface="B Nazanin" panose="00000400000000000000" pitchFamily="2" charset="-78"/>
              </a:endParaRP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FC5FC3F-146D-4551-A9F1-D11967DB655C}"/>
                </a:ext>
              </a:extLst>
            </xdr:cNvPr>
            <xdr:cNvSpPr txBox="1"/>
          </xdr:nvSpPr>
          <xdr:spPr>
            <a:xfrm>
              <a:off x="87395049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FC5FC3F-146D-4551-A9F1-D11967DB655C}"/>
                </a:ext>
              </a:extLst>
            </xdr:cNvPr>
            <xdr:cNvSpPr txBox="1"/>
          </xdr:nvSpPr>
          <xdr:spPr>
            <a:xfrm>
              <a:off x="87395049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𝐋_𝟎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DE26C9-C565-4350-AB5A-AA7F83500622}"/>
                </a:ext>
              </a:extLst>
            </xdr:cNvPr>
            <xdr:cNvSpPr txBox="1"/>
          </xdr:nvSpPr>
          <xdr:spPr>
            <a:xfrm>
              <a:off x="87388191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𝐬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DE26C9-C565-4350-AB5A-AA7F83500622}"/>
                </a:ext>
              </a:extLst>
            </xdr:cNvPr>
            <xdr:cNvSpPr txBox="1"/>
          </xdr:nvSpPr>
          <xdr:spPr>
            <a:xfrm>
              <a:off x="87388191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𝐋_𝐬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CDA719-CB05-4E1A-9DD3-E76F94945E43}"/>
                </a:ext>
              </a:extLst>
            </xdr:cNvPr>
            <xdr:cNvSpPr txBox="1"/>
          </xdr:nvSpPr>
          <xdr:spPr>
            <a:xfrm>
              <a:off x="87381333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𝐰𝟏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0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7CDA719-CB05-4E1A-9DD3-E76F94945E43}"/>
                </a:ext>
              </a:extLst>
            </xdr:cNvPr>
            <xdr:cNvSpPr txBox="1"/>
          </xdr:nvSpPr>
          <xdr:spPr>
            <a:xfrm>
              <a:off x="87381333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𝐋_𝐰𝟏  (mm)</a:t>
              </a:r>
              <a:endParaRPr lang="fa-IR" sz="10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C22DF1F-7D77-4539-9E46-0DB469E1F290}"/>
                </a:ext>
              </a:extLst>
            </xdr:cNvPr>
            <xdr:cNvSpPr txBox="1"/>
          </xdr:nvSpPr>
          <xdr:spPr>
            <a:xfrm>
              <a:off x="87374475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𝐰𝟐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C22DF1F-7D77-4539-9E46-0DB469E1F290}"/>
                </a:ext>
              </a:extLst>
            </xdr:cNvPr>
            <xdr:cNvSpPr txBox="1"/>
          </xdr:nvSpPr>
          <xdr:spPr>
            <a:xfrm>
              <a:off x="873744751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𝐋_𝐰𝟐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674867</xdr:colOff>
      <xdr:row>20</xdr:row>
      <xdr:rowOff>0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0093E01-5489-4169-8062-CF9DE9ED9482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0093E01-5489-4169-8062-CF9DE9ED9482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4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7454D97-D8BB-4C69-940F-11B0B6CEDAD0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7454D97-D8BB-4C69-940F-11B0B6CEDAD0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EBCD472-5FDD-4605-9BB9-81F14B52C2E4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EBCD472-5FDD-4605-9BB9-81F14B52C2E4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7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6460E6F-5CA4-464E-B112-8FD62AFFFF9A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6460E6F-5CA4-464E-B112-8FD62AFFFF9A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10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7132636-D9A2-4F02-94BC-4C1F0097B306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57132636-D9A2-4F02-94BC-4C1F0097B306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13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331F5E0-FBB4-45A1-9F44-A4B68633BAC6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331F5E0-FBB4-45A1-9F44-A4B68633BAC6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16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03D2968-F04F-4594-9C7B-CD995DC3B026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A03D2968-F04F-4594-9C7B-CD995DC3B026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16</xdr:col>
      <xdr:colOff>0</xdr:colOff>
      <xdr:row>1</xdr:row>
      <xdr:rowOff>0</xdr:rowOff>
    </xdr:from>
    <xdr:ext cx="1473680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3489FD6-780E-4663-BF35-1691FB24C332}"/>
                </a:ext>
              </a:extLst>
            </xdr:cNvPr>
            <xdr:cNvSpPr txBox="1"/>
          </xdr:nvSpPr>
          <xdr:spPr>
            <a:xfrm>
              <a:off x="8806080909" y="3048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C3489FD6-780E-4663-BF35-1691FB24C332}"/>
                </a:ext>
              </a:extLst>
            </xdr:cNvPr>
            <xdr:cNvSpPr txBox="1"/>
          </xdr:nvSpPr>
          <xdr:spPr>
            <a:xfrm>
              <a:off x="8806080909" y="3048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L_s))/L_0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3</xdr:row>
      <xdr:rowOff>297612</xdr:rowOff>
    </xdr:from>
    <xdr:ext cx="1473680" cy="921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7A6F921-9F6C-4952-A71B-5BAE6284FF27}"/>
                </a:ext>
              </a:extLst>
            </xdr:cNvPr>
            <xdr:cNvSpPr txBox="1"/>
          </xdr:nvSpPr>
          <xdr:spPr>
            <a:xfrm>
              <a:off x="8806080909" y="12120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7A6F921-9F6C-4952-A71B-5BAE6284FF27}"/>
                </a:ext>
              </a:extLst>
            </xdr:cNvPr>
            <xdr:cNvSpPr txBox="1"/>
          </xdr:nvSpPr>
          <xdr:spPr>
            <a:xfrm>
              <a:off x="8806080909" y="12120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L_w1))/L_0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7</xdr:row>
      <xdr:rowOff>0</xdr:rowOff>
    </xdr:from>
    <xdr:ext cx="1473680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DA10123F-3799-427E-8A92-B28E425400E6}"/>
                </a:ext>
              </a:extLst>
            </xdr:cNvPr>
            <xdr:cNvSpPr txBox="1"/>
          </xdr:nvSpPr>
          <xdr:spPr>
            <a:xfrm>
              <a:off x="8806080909" y="21336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DA10123F-3799-427E-8A92-B28E425400E6}"/>
                </a:ext>
              </a:extLst>
            </xdr:cNvPr>
            <xdr:cNvSpPr txBox="1"/>
          </xdr:nvSpPr>
          <xdr:spPr>
            <a:xfrm>
              <a:off x="8806080909" y="21336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10</xdr:row>
      <xdr:rowOff>1</xdr:rowOff>
    </xdr:from>
    <xdr:ext cx="1473680" cy="9143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710B755-7010-41D3-BAB0-633476F84E5C}"/>
                </a:ext>
              </a:extLst>
            </xdr:cNvPr>
            <xdr:cNvSpPr txBox="1"/>
          </xdr:nvSpPr>
          <xdr:spPr>
            <a:xfrm>
              <a:off x="8806080909" y="3048001"/>
              <a:ext cx="1473680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7710B755-7010-41D3-BAB0-633476F84E5C}"/>
                </a:ext>
              </a:extLst>
            </xdr:cNvPr>
            <xdr:cNvSpPr txBox="1"/>
          </xdr:nvSpPr>
          <xdr:spPr>
            <a:xfrm>
              <a:off x="8806080909" y="3048001"/>
              <a:ext cx="1473680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((L_s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L_w1))/L_s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12</xdr:row>
      <xdr:rowOff>297612</xdr:rowOff>
    </xdr:from>
    <xdr:ext cx="1473680" cy="921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6A5485-BD6B-4080-8EE3-2E5CF589348F}"/>
                </a:ext>
              </a:extLst>
            </xdr:cNvPr>
            <xdr:cNvSpPr txBox="1"/>
          </xdr:nvSpPr>
          <xdr:spPr>
            <a:xfrm>
              <a:off x="8806080909" y="39552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6A5485-BD6B-4080-8EE3-2E5CF589348F}"/>
                </a:ext>
              </a:extLst>
            </xdr:cNvPr>
            <xdr:cNvSpPr txBox="1"/>
          </xdr:nvSpPr>
          <xdr:spPr>
            <a:xfrm>
              <a:off x="8806080909" y="39552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((L_s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L_w2))/L_s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15</xdr:row>
      <xdr:rowOff>297613</xdr:rowOff>
    </xdr:from>
    <xdr:ext cx="1473680" cy="921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2AE8E5F-EDE9-4399-B274-1E5D5580D4FF}"/>
                </a:ext>
              </a:extLst>
            </xdr:cNvPr>
            <xdr:cNvSpPr txBox="1"/>
          </xdr:nvSpPr>
          <xdr:spPr>
            <a:xfrm>
              <a:off x="8806080909" y="4869613"/>
              <a:ext cx="1473680" cy="92158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52AE8E5F-EDE9-4399-B274-1E5D5580D4FF}"/>
                </a:ext>
              </a:extLst>
            </xdr:cNvPr>
            <xdr:cNvSpPr txBox="1"/>
          </xdr:nvSpPr>
          <xdr:spPr>
            <a:xfrm>
              <a:off x="8806080909" y="4869613"/>
              <a:ext cx="1473680" cy="92158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((L_w1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L_w2))/L_w1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AEE5F4-646C-4F74-9CF8-879A97DC9FCA}"/>
                </a:ext>
              </a:extLst>
            </xdr:cNvPr>
            <xdr:cNvSpPr txBox="1"/>
          </xdr:nvSpPr>
          <xdr:spPr>
            <a:xfrm>
              <a:off x="87387657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𝟎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AEE5F4-646C-4F74-9CF8-879A97DC9FCA}"/>
                </a:ext>
              </a:extLst>
            </xdr:cNvPr>
            <xdr:cNvSpPr txBox="1"/>
          </xdr:nvSpPr>
          <xdr:spPr>
            <a:xfrm>
              <a:off x="87387657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𝐋_𝟎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9B0FE8-16C0-4CC8-9EDF-1BFAB5C6AA23}"/>
                </a:ext>
              </a:extLst>
            </xdr:cNvPr>
            <xdr:cNvSpPr txBox="1"/>
          </xdr:nvSpPr>
          <xdr:spPr>
            <a:xfrm>
              <a:off x="87380799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𝐬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49B0FE8-16C0-4CC8-9EDF-1BFAB5C6AA23}"/>
                </a:ext>
              </a:extLst>
            </xdr:cNvPr>
            <xdr:cNvSpPr txBox="1"/>
          </xdr:nvSpPr>
          <xdr:spPr>
            <a:xfrm>
              <a:off x="87380799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𝐋_𝐬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9D276C2-FD5C-4FD5-9AE2-A977D98DD4BF}"/>
                </a:ext>
              </a:extLst>
            </xdr:cNvPr>
            <xdr:cNvSpPr txBox="1"/>
          </xdr:nvSpPr>
          <xdr:spPr>
            <a:xfrm>
              <a:off x="87373941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𝐰𝟏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0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9D276C2-FD5C-4FD5-9AE2-A977D98DD4BF}"/>
                </a:ext>
              </a:extLst>
            </xdr:cNvPr>
            <xdr:cNvSpPr txBox="1"/>
          </xdr:nvSpPr>
          <xdr:spPr>
            <a:xfrm>
              <a:off x="87373941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𝐋_𝐰𝟏  (mm)</a:t>
              </a:r>
              <a:endParaRPr lang="fa-IR" sz="10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0</xdr:colOff>
      <xdr:row>0</xdr:row>
      <xdr:rowOff>0</xdr:rowOff>
    </xdr:from>
    <xdr:ext cx="688427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788ED84-745E-49A9-B358-13E62C7A205F}"/>
                </a:ext>
              </a:extLst>
            </xdr:cNvPr>
            <xdr:cNvSpPr txBox="1"/>
          </xdr:nvSpPr>
          <xdr:spPr>
            <a:xfrm>
              <a:off x="87367083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𝐋</m:t>
                        </m:r>
                      </m:e>
                      <m:sub>
                        <m:r>
                          <a:rPr lang="en-US" sz="1000" b="1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𝐰𝟐</m:t>
                        </m:r>
                      </m:sub>
                    </m:sSub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mm</m:t>
                    </m:r>
                    <m:r>
                      <a:rPr lang="en-US" sz="10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fa-IR" sz="1200" b="1" i="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788ED84-745E-49A9-B358-13E62C7A205F}"/>
                </a:ext>
              </a:extLst>
            </xdr:cNvPr>
            <xdr:cNvSpPr txBox="1"/>
          </xdr:nvSpPr>
          <xdr:spPr>
            <a:xfrm>
              <a:off x="8736708373" y="0"/>
              <a:ext cx="688427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0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𝐋_𝐰𝟐  (mm)</a:t>
              </a:r>
              <a:endParaRPr lang="fa-IR" sz="1200" b="1" i="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8</xdr:col>
      <xdr:colOff>674867</xdr:colOff>
      <xdr:row>26</xdr:row>
      <xdr:rowOff>0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7205AC1-E695-4F0F-AA7B-317D23CF597D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7205AC1-E695-4F0F-AA7B-317D23CF597D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4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48D8E24-2B7D-4D9E-9431-989958235921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48D8E24-2B7D-4D9E-9431-989958235921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980D1ED-9CC8-44D7-B782-5A90A11558E8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980D1ED-9CC8-44D7-B782-5A90A11558E8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7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B535026-C193-4DD7-A311-E960849AC9AE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B535026-C193-4DD7-A311-E960849AC9AE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10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7E15606-1BBD-4371-A327-11DA654C4B98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7E15606-1BBD-4371-A327-11DA654C4B98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13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0F5B180-9841-4A6B-A432-FF1613F36FF4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0F5B180-9841-4A6B-A432-FF1613F36FF4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16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F3B0085-A5BB-4920-9291-8657F4403BE7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F3B0085-A5BB-4920-9291-8657F4403BE7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16</xdr:col>
      <xdr:colOff>0</xdr:colOff>
      <xdr:row>1</xdr:row>
      <xdr:rowOff>0</xdr:rowOff>
    </xdr:from>
    <xdr:ext cx="1473680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A83A75E-052B-4E79-BDFE-D5969EFC9C66}"/>
                </a:ext>
              </a:extLst>
            </xdr:cNvPr>
            <xdr:cNvSpPr txBox="1"/>
          </xdr:nvSpPr>
          <xdr:spPr>
            <a:xfrm>
              <a:off x="8729629000" y="4572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A83A75E-052B-4E79-BDFE-D5969EFC9C66}"/>
                </a:ext>
              </a:extLst>
            </xdr:cNvPr>
            <xdr:cNvSpPr txBox="1"/>
          </xdr:nvSpPr>
          <xdr:spPr>
            <a:xfrm>
              <a:off x="8729629000" y="4572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L_s))/L_0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3</xdr:row>
      <xdr:rowOff>297612</xdr:rowOff>
    </xdr:from>
    <xdr:ext cx="1473680" cy="921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BB8292C-1550-4233-BBA7-FA4FAB7B9EA6}"/>
                </a:ext>
              </a:extLst>
            </xdr:cNvPr>
            <xdr:cNvSpPr txBox="1"/>
          </xdr:nvSpPr>
          <xdr:spPr>
            <a:xfrm>
              <a:off x="8729629000" y="13644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BB8292C-1550-4233-BBA7-FA4FAB7B9EA6}"/>
                </a:ext>
              </a:extLst>
            </xdr:cNvPr>
            <xdr:cNvSpPr txBox="1"/>
          </xdr:nvSpPr>
          <xdr:spPr>
            <a:xfrm>
              <a:off x="8729629000" y="13644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L_w1))/L_0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7</xdr:row>
      <xdr:rowOff>0</xdr:rowOff>
    </xdr:from>
    <xdr:ext cx="1473680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4E8E243-6337-4455-A82D-AE5776B41A54}"/>
                </a:ext>
              </a:extLst>
            </xdr:cNvPr>
            <xdr:cNvSpPr txBox="1"/>
          </xdr:nvSpPr>
          <xdr:spPr>
            <a:xfrm>
              <a:off x="8729629000" y="22860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4E8E243-6337-4455-A82D-AE5776B41A54}"/>
                </a:ext>
              </a:extLst>
            </xdr:cNvPr>
            <xdr:cNvSpPr txBox="1"/>
          </xdr:nvSpPr>
          <xdr:spPr>
            <a:xfrm>
              <a:off x="8729629000" y="2286000"/>
              <a:ext cx="1473680" cy="91440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((L_0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L_w2))/L_0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10</xdr:row>
      <xdr:rowOff>1</xdr:rowOff>
    </xdr:from>
    <xdr:ext cx="1473680" cy="9143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FEF9C92-DE9A-4862-95E7-EE92D7A95D1B}"/>
                </a:ext>
              </a:extLst>
            </xdr:cNvPr>
            <xdr:cNvSpPr txBox="1"/>
          </xdr:nvSpPr>
          <xdr:spPr>
            <a:xfrm>
              <a:off x="8729629000" y="3200401"/>
              <a:ext cx="1473680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FEF9C92-DE9A-4862-95E7-EE92D7A95D1B}"/>
                </a:ext>
              </a:extLst>
            </xdr:cNvPr>
            <xdr:cNvSpPr txBox="1"/>
          </xdr:nvSpPr>
          <xdr:spPr>
            <a:xfrm>
              <a:off x="8729629000" y="3200401"/>
              <a:ext cx="1473680" cy="9143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((L_s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L_w1))/L_s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12</xdr:row>
      <xdr:rowOff>297612</xdr:rowOff>
    </xdr:from>
    <xdr:ext cx="1473680" cy="921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2A765FF-F2CC-4B79-B5F3-B37C6A765CF5}"/>
                </a:ext>
              </a:extLst>
            </xdr:cNvPr>
            <xdr:cNvSpPr txBox="1"/>
          </xdr:nvSpPr>
          <xdr:spPr>
            <a:xfrm>
              <a:off x="8729629000" y="41076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s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2A765FF-F2CC-4B79-B5F3-B37C6A765CF5}"/>
                </a:ext>
              </a:extLst>
            </xdr:cNvPr>
            <xdr:cNvSpPr txBox="1"/>
          </xdr:nvSpPr>
          <xdr:spPr>
            <a:xfrm>
              <a:off x="8729629000" y="4107612"/>
              <a:ext cx="1473680" cy="921588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((L_s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L_w2))/L_s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16</xdr:col>
      <xdr:colOff>0</xdr:colOff>
      <xdr:row>15</xdr:row>
      <xdr:rowOff>297613</xdr:rowOff>
    </xdr:from>
    <xdr:ext cx="1473680" cy="921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DE6EC6-F1D1-438A-9C82-A042BD2667B1}"/>
                </a:ext>
              </a:extLst>
            </xdr:cNvPr>
            <xdr:cNvSpPr txBox="1"/>
          </xdr:nvSpPr>
          <xdr:spPr>
            <a:xfrm>
              <a:off x="8729629000" y="5022013"/>
              <a:ext cx="1473680" cy="92158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fa-IR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L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1200" b="0" i="1">
                                <a:latin typeface="Cambria Math" panose="02040503050406030204" pitchFamily="18" charset="0"/>
                              </a:rPr>
                              <m:t>w</m:t>
                            </m:r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fa-I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</m:oMath>
                </m:oMathPara>
              </a14:m>
              <a:endParaRPr lang="fa-IR" sz="12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3DE6EC6-F1D1-438A-9C82-A042BD2667B1}"/>
                </a:ext>
              </a:extLst>
            </xdr:cNvPr>
            <xdr:cNvSpPr txBox="1"/>
          </xdr:nvSpPr>
          <xdr:spPr>
            <a:xfrm>
              <a:off x="8729629000" y="5022013"/>
              <a:ext cx="1473680" cy="921587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en-US" sz="1200" b="0" i="0">
                  <a:latin typeface="Cambria Math" panose="02040503050406030204" pitchFamily="18" charset="0"/>
                </a:rPr>
                <a:t>((L_w1</a:t>
              </a:r>
              <a:r>
                <a:rPr lang="fa-IR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US" sz="1200" b="0" i="0">
                  <a:latin typeface="Cambria Math" panose="02040503050406030204" pitchFamily="18" charset="0"/>
                </a:rPr>
                <a:t>L_w2))/L_w1 </a:t>
              </a:r>
              <a:r>
                <a:rPr lang="fa-I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</a:t>
              </a:r>
              <a:endParaRPr lang="fa-IR" sz="1200"/>
            </a:p>
          </xdr:txBody>
        </xdr:sp>
      </mc:Fallback>
    </mc:AlternateContent>
    <xdr:clientData/>
  </xdr:oneCellAnchor>
  <xdr:oneCellAnchor>
    <xdr:from>
      <xdr:col>8</xdr:col>
      <xdr:colOff>674867</xdr:colOff>
      <xdr:row>26</xdr:row>
      <xdr:rowOff>0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EF805DA-B764-4DCD-A07F-1CB31AEE303D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EF805DA-B764-4DCD-A07F-1CB31AEE303D}"/>
                </a:ext>
              </a:extLst>
            </xdr:cNvPr>
            <xdr:cNvSpPr txBox="1"/>
          </xdr:nvSpPr>
          <xdr:spPr>
            <a:xfrm>
              <a:off x="8735674680" y="6172200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4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628E6AA-FDED-499D-A5D7-82DD69BBF310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628E6AA-FDED-499D-A5D7-82DD69BBF310}"/>
                </a:ext>
              </a:extLst>
            </xdr:cNvPr>
            <xdr:cNvSpPr txBox="1"/>
          </xdr:nvSpPr>
          <xdr:spPr>
            <a:xfrm>
              <a:off x="8735674680" y="13716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13004EF-7A85-4D4A-879F-CED6ECCF2BD7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513004EF-7A85-4D4A-879F-CED6ECCF2BD7}"/>
                </a:ext>
              </a:extLst>
            </xdr:cNvPr>
            <xdr:cNvSpPr txBox="1"/>
          </xdr:nvSpPr>
          <xdr:spPr>
            <a:xfrm>
              <a:off x="8735674680" y="457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7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366F197-499A-476D-B2B0-42CA748472CC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366F197-499A-476D-B2B0-42CA748472CC}"/>
                </a:ext>
              </a:extLst>
            </xdr:cNvPr>
            <xdr:cNvSpPr txBox="1"/>
          </xdr:nvSpPr>
          <xdr:spPr>
            <a:xfrm>
              <a:off x="8735674680" y="22860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10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F7712B0-3216-4E11-908D-D2697D9308AF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F7712B0-3216-4E11-908D-D2697D9308AF}"/>
                </a:ext>
              </a:extLst>
            </xdr:cNvPr>
            <xdr:cNvSpPr txBox="1"/>
          </xdr:nvSpPr>
          <xdr:spPr>
            <a:xfrm>
              <a:off x="8735674680" y="32004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13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163E203-3B73-4A14-9837-F1DC24573968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163E203-3B73-4A14-9837-F1DC24573968}"/>
                </a:ext>
              </a:extLst>
            </xdr:cNvPr>
            <xdr:cNvSpPr txBox="1"/>
          </xdr:nvSpPr>
          <xdr:spPr>
            <a:xfrm>
              <a:off x="8735674680" y="41148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  <xdr:oneCellAnchor>
    <xdr:from>
      <xdr:col>8</xdr:col>
      <xdr:colOff>674867</xdr:colOff>
      <xdr:row>16</xdr:row>
      <xdr:rowOff>1</xdr:rowOff>
    </xdr:from>
    <xdr:ext cx="1047253" cy="9144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E68994-8BE8-4864-A696-7C3C7EDF38C1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14:m>
                <m:oMath xmlns:m="http://schemas.openxmlformats.org/officeDocument/2006/math">
                  <m:m>
                    <m:mPr>
                      <m:mcs>
                        <m:mc>
                          <m:mcPr>
                            <m:count m:val="1"/>
                            <m:mcJc m:val="center"/>
                          </m:mcPr>
                        </m:mc>
                      </m:mcs>
                      <m:ctrlPr>
                        <a:rPr lang="fa-IR" sz="1600" b="1" i="1">
                          <a:latin typeface="Cambria Math" panose="02040503050406030204" pitchFamily="18" charset="0"/>
                        </a:rPr>
                      </m:ctrlPr>
                    </m:mPr>
                    <m:mr>
                      <m:e>
                        <m:r>
                          <m:rPr>
                            <m:brk m:alnAt="7"/>
                          </m:rP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↙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←</m:t>
                        </m:r>
                      </m:e>
                    </m:mr>
                    <m:mr>
                      <m:e>
                        <m:r>
                          <a:rPr lang="fa-I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↖</m:t>
                        </m:r>
                      </m:e>
                    </m:mr>
                  </m:m>
                </m:oMath>
              </a14:m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FEE68994-8BE8-4864-A696-7C3C7EDF38C1}"/>
                </a:ext>
              </a:extLst>
            </xdr:cNvPr>
            <xdr:cNvSpPr txBox="1"/>
          </xdr:nvSpPr>
          <xdr:spPr>
            <a:xfrm>
              <a:off x="8735674680" y="5029201"/>
              <a:ext cx="1047253" cy="914400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ctr" anchorCtr="0">
              <a:noAutofit/>
            </a:bodyPr>
            <a:lstStyle/>
            <a:p>
              <a:pPr algn="r" rtl="1"/>
              <a:r>
                <a:rPr lang="fa-IR" sz="1100" b="1">
                  <a:cs typeface="B Nazanin" panose="00000400000000000000" pitchFamily="2" charset="-78"/>
                </a:rPr>
                <a:t>  </a:t>
              </a:r>
              <a:r>
                <a:rPr lang="fa-IR" sz="1600" b="1" i="0">
                  <a:latin typeface="Cambria Math" panose="02040503050406030204" pitchFamily="18" charset="0"/>
                </a:rPr>
                <a:t>■8(</a:t>
              </a:r>
              <a:r>
                <a:rPr lang="fa-I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↙@←@↖)</a:t>
              </a:r>
              <a:r>
                <a:rPr lang="fa-IR" sz="1100" b="1">
                  <a:cs typeface="B Nazanin" panose="00000400000000000000" pitchFamily="2" charset="-78"/>
                </a:rPr>
                <a:t>  3 نمونه شاهد</a:t>
              </a:r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6" headerRowDxfId="39" dataDxfId="38" totalsRowDxfId="37">
  <tableColumns count="3">
    <tableColumn id="1" xr3:uid="{00000000-0010-0000-0000-000001000000}" name="نمونه نخ (1m)" totalsRowLabel="Total" dataDxfId="36" totalsRowDxfId="35"/>
    <tableColumn id="2" xr3:uid="{00000000-0010-0000-0000-000002000000}" name=" " dataDxfId="34" totalsRowDxfId="33"/>
    <tableColumn id="3" xr3:uid="{00000000-0010-0000-0000-000003000000}" name="نمره اسمی نخ (Ne)" dataDxfId="3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C6" totalsRowShown="0" headerRowDxfId="31" dataDxfId="30">
  <tableColumns count="3">
    <tableColumn id="1" xr3:uid="{00000000-0010-0000-0100-000001000000}" name="نمونه نخ (1m)" dataDxfId="29"/>
    <tableColumn id="2" xr3:uid="{00000000-0010-0000-0100-000002000000}" name=" " dataDxfId="28"/>
    <tableColumn id="3" xr3:uid="{00000000-0010-0000-0100-000003000000}" name="نمره اسمی نخ (Ne)" dataDxfId="2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6" totalsRowShown="0" headerRowDxfId="26" dataDxfId="25">
  <tableColumns count="6">
    <tableColumn id="1" xr3:uid="{00000000-0010-0000-0200-000001000000}" name="پارچه ی پنبه" dataDxfId="24"/>
    <tableColumn id="2" xr3:uid="{00000000-0010-0000-0200-000002000000}" name=" ‌" dataDxfId="23"/>
    <tableColumn id="3" xr3:uid="{00000000-0010-0000-0200-000003000000}" name="‌" dataDxfId="22"/>
    <tableColumn id="4" xr3:uid="{00000000-0010-0000-0200-000004000000}" name="   " dataDxfId="21"/>
    <tableColumn id="5" xr3:uid="{00000000-0010-0000-0200-000005000000}" name="نمره نخ تار (tex)" dataDxfId="20"/>
    <tableColumn id="6" xr3:uid="{00000000-0010-0000-0200-000006000000}" name="نمره نخ پود (tex)" dataDxfId="19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6" totalsRowShown="0" headerRowDxfId="18" dataDxfId="17">
  <tableColumns count="6">
    <tableColumn id="1" xr3:uid="{00000000-0010-0000-0300-000001000000}" name="پارچه پلی استر" dataDxfId="16"/>
    <tableColumn id="2" xr3:uid="{00000000-0010-0000-0300-000002000000}" name=" ‌" dataDxfId="15"/>
    <tableColumn id="3" xr3:uid="{00000000-0010-0000-0300-000003000000}" name="‌" dataDxfId="14"/>
    <tableColumn id="4" xr3:uid="{00000000-0010-0000-0300-000004000000}" name="   " dataDxfId="13"/>
    <tableColumn id="5" xr3:uid="{00000000-0010-0000-0300-000005000000}" name="نمره نخ تار پارچه (tex)" dataDxfId="12"/>
    <tableColumn id="6" xr3:uid="{00000000-0010-0000-0300-000006000000}" name="نمره نخ پود پارچه (tex)" dataDxfId="11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8B691A-BC11-443B-A34D-292C0328600A}" name="Table3678" displayName="Table3678" ref="A1:I23" totalsRowShown="0" headerRowDxfId="10" dataDxfId="9">
  <tableColumns count="9">
    <tableColumn id="1" xr3:uid="{C82CC72C-931A-4713-B0B0-114EE830E490}" name="کد نمونه" dataDxfId="8"/>
    <tableColumn id="2" xr3:uid="{65C8BB27-BCDE-4009-9018-DF9B72B83479}" name="پارچه" dataDxfId="7"/>
    <tableColumn id="3" xr3:uid="{6D2753D1-9AA0-4ADD-A633-5AC693E7289E}" name="نمره نخ قرره_x000a_پنبه (ne)" dataDxfId="6"/>
    <tableColumn id="4" xr3:uid="{852DFFF7-0096-4E92-ABCE-34E8805183A9}" name="کشش" dataDxfId="5"/>
    <tableColumn id="5" xr3:uid="{FABAC6E5-699F-4B81-BBFB-F211B6212A52}" name="تکرار" dataDxfId="4"/>
    <tableColumn id="6" xr3:uid="{AEE0FD44-22F0-4F73-B0C0-9BF0E2268B4E}" name=" " dataDxfId="3"/>
    <tableColumn id="7" xr3:uid="{D16600B2-A61C-4640-A8CA-246B9B0684FD}" name="  " dataDxfId="2"/>
    <tableColumn id="8" xr3:uid="{491888F4-3EDC-4021-A204-143B57446419}" name="   " dataDxfId="1"/>
    <tableColumn id="9" xr3:uid="{1B843651-C431-48EC-85B2-C9B31BC3E182}" name="    " dataDxfId="0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00B515-C3D7-438A-B24E-C443072A6D00}" name="Table36786" displayName="Table36786" ref="A1:I29" totalsRowShown="0" headerRowDxfId="50" dataDxfId="49">
  <tableColumns count="9">
    <tableColumn id="1" xr3:uid="{FE230EA7-2827-4425-908D-F8B401866440}" name="کد نمونه" dataDxfId="48"/>
    <tableColumn id="2" xr3:uid="{AE00D31D-65EF-4E57-863F-EA3B197CE373}" name="پارچه" dataDxfId="47"/>
    <tableColumn id="3" xr3:uid="{0EEE61A7-32D0-452C-A87F-63EC4F4F3E96}" name="نمره نخ قرره_x000a_پنبه (ne)" dataDxfId="46"/>
    <tableColumn id="4" xr3:uid="{ABD11721-81B4-4504-BCED-7AAAEC0E757B}" name="کشش" dataDxfId="45"/>
    <tableColumn id="5" xr3:uid="{F6C25315-2AD9-449A-A946-62A1D9816689}" name="تکرار" dataDxfId="44"/>
    <tableColumn id="6" xr3:uid="{869DD645-A0E1-4E1E-90FD-7011718DAA43}" name=" " dataDxfId="43"/>
    <tableColumn id="7" xr3:uid="{1FB39394-191A-4D97-9338-BF208527E0CA}" name="  " dataDxfId="42"/>
    <tableColumn id="8" xr3:uid="{10B2A7B9-18BA-450D-B18B-772886DBCAEA}" name="   " dataDxfId="41"/>
    <tableColumn id="9" xr3:uid="{B50E4A63-ECB7-42CF-A478-F0F4037E265D}" name="    " dataDxfId="4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"/>
  <sheetViews>
    <sheetView rightToLeft="1" zoomScaleNormal="100" workbookViewId="0">
      <selection activeCell="F1" sqref="F1"/>
    </sheetView>
  </sheetViews>
  <sheetFormatPr defaultColWidth="7" defaultRowHeight="42" customHeight="1" x14ac:dyDescent="0.55000000000000004"/>
  <cols>
    <col min="1" max="1" width="15" style="3" customWidth="1"/>
    <col min="2" max="3" width="20" style="3" customWidth="1"/>
    <col min="4" max="4" width="30" style="3" customWidth="1"/>
    <col min="5" max="5" width="22" style="3" customWidth="1"/>
    <col min="6" max="16384" width="7" style="3"/>
  </cols>
  <sheetData>
    <row r="1" spans="1:5" ht="42" customHeight="1" x14ac:dyDescent="0.55000000000000004">
      <c r="A1" s="7" t="s">
        <v>8</v>
      </c>
      <c r="B1" s="8" t="s">
        <v>19</v>
      </c>
      <c r="C1" s="8" t="s">
        <v>21</v>
      </c>
      <c r="D1" s="14" t="s">
        <v>0</v>
      </c>
      <c r="E1" s="9" t="s">
        <v>20</v>
      </c>
    </row>
    <row r="2" spans="1:5" ht="42" customHeight="1" x14ac:dyDescent="0.55000000000000004">
      <c r="A2" s="4">
        <v>1</v>
      </c>
      <c r="B2" s="4"/>
      <c r="C2" s="4">
        <v>20</v>
      </c>
      <c r="D2" s="69"/>
      <c r="E2" s="15">
        <v>23.26</v>
      </c>
    </row>
    <row r="3" spans="1:5" ht="42" customHeight="1" x14ac:dyDescent="0.55000000000000004">
      <c r="A3" s="4">
        <v>2</v>
      </c>
      <c r="B3" s="4"/>
      <c r="C3" s="4">
        <v>20</v>
      </c>
      <c r="D3" s="70"/>
      <c r="E3" s="16">
        <v>23.26</v>
      </c>
    </row>
    <row r="4" spans="1:5" ht="42" customHeight="1" x14ac:dyDescent="0.55000000000000004">
      <c r="A4" s="4">
        <v>3</v>
      </c>
      <c r="B4" s="4"/>
      <c r="C4" s="4">
        <v>20</v>
      </c>
      <c r="D4" s="70"/>
      <c r="E4" s="15">
        <v>23.26</v>
      </c>
    </row>
    <row r="5" spans="1:5" ht="42" customHeight="1" x14ac:dyDescent="0.55000000000000004">
      <c r="A5" s="4">
        <v>4</v>
      </c>
      <c r="B5" s="4"/>
      <c r="C5" s="4">
        <v>20</v>
      </c>
      <c r="D5" s="70"/>
      <c r="E5" s="16">
        <v>23.26</v>
      </c>
    </row>
    <row r="6" spans="1:5" ht="42" customHeight="1" x14ac:dyDescent="0.55000000000000004">
      <c r="A6" s="4">
        <v>5</v>
      </c>
      <c r="B6" s="4"/>
      <c r="C6" s="4">
        <v>20</v>
      </c>
      <c r="D6" s="71"/>
      <c r="E6" s="15">
        <v>23.26</v>
      </c>
    </row>
    <row r="7" spans="1:5" ht="42" customHeight="1" x14ac:dyDescent="0.55000000000000004">
      <c r="A7" s="6"/>
      <c r="B7" s="4" t="s">
        <v>9</v>
      </c>
      <c r="C7" s="6"/>
    </row>
  </sheetData>
  <mergeCells count="1">
    <mergeCell ref="D2:D6"/>
  </mergeCells>
  <pageMargins left="0.25" right="0.25" top="0.75" bottom="0.75" header="0.3" footer="0.3"/>
  <pageSetup paperSize="8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rightToLeft="1" workbookViewId="0">
      <selection activeCell="F1" sqref="F1"/>
    </sheetView>
  </sheetViews>
  <sheetFormatPr defaultColWidth="7" defaultRowHeight="42" customHeight="1" x14ac:dyDescent="0.55000000000000004"/>
  <cols>
    <col min="1" max="1" width="15" style="1" customWidth="1"/>
    <col min="2" max="3" width="20" style="1" customWidth="1"/>
    <col min="4" max="4" width="30" style="1" customWidth="1"/>
    <col min="5" max="5" width="22" style="3" customWidth="1"/>
    <col min="6" max="16384" width="7" style="1"/>
  </cols>
  <sheetData>
    <row r="1" spans="1:5" ht="42" customHeight="1" x14ac:dyDescent="0.55000000000000004">
      <c r="A1" s="7" t="s">
        <v>8</v>
      </c>
      <c r="B1" s="10" t="s">
        <v>19</v>
      </c>
      <c r="C1" s="10" t="s">
        <v>21</v>
      </c>
      <c r="D1" s="11" t="s">
        <v>0</v>
      </c>
      <c r="E1" s="9" t="s">
        <v>20</v>
      </c>
    </row>
    <row r="2" spans="1:5" ht="42" customHeight="1" x14ac:dyDescent="0.55000000000000004">
      <c r="A2" s="2">
        <v>1</v>
      </c>
      <c r="B2" s="2"/>
      <c r="C2" s="2">
        <v>40</v>
      </c>
      <c r="D2" s="72"/>
      <c r="E2" s="15">
        <v>39.369999999999997</v>
      </c>
    </row>
    <row r="3" spans="1:5" ht="42" customHeight="1" x14ac:dyDescent="0.55000000000000004">
      <c r="A3" s="2">
        <v>2</v>
      </c>
      <c r="B3" s="2"/>
      <c r="C3" s="2">
        <v>40</v>
      </c>
      <c r="D3" s="73"/>
      <c r="E3" s="16">
        <v>39.369999999999997</v>
      </c>
    </row>
    <row r="4" spans="1:5" ht="42" customHeight="1" x14ac:dyDescent="0.55000000000000004">
      <c r="A4" s="2">
        <v>3</v>
      </c>
      <c r="B4" s="2"/>
      <c r="C4" s="2">
        <v>40</v>
      </c>
      <c r="D4" s="73"/>
      <c r="E4" s="15">
        <v>39.369999999999997</v>
      </c>
    </row>
    <row r="5" spans="1:5" ht="42" customHeight="1" x14ac:dyDescent="0.55000000000000004">
      <c r="A5" s="2">
        <v>4</v>
      </c>
      <c r="B5" s="2"/>
      <c r="C5" s="2">
        <v>40</v>
      </c>
      <c r="D5" s="73"/>
      <c r="E5" s="16">
        <v>39.369999999999997</v>
      </c>
    </row>
    <row r="6" spans="1:5" ht="42" customHeight="1" x14ac:dyDescent="0.55000000000000004">
      <c r="A6" s="2">
        <v>5</v>
      </c>
      <c r="B6" s="2"/>
      <c r="C6" s="2">
        <v>40</v>
      </c>
      <c r="D6" s="74"/>
      <c r="E6" s="15">
        <v>39.369999999999997</v>
      </c>
    </row>
    <row r="8" spans="1:5" ht="42" customHeight="1" x14ac:dyDescent="0.55000000000000004">
      <c r="D8" s="2"/>
    </row>
    <row r="9" spans="1:5" ht="42" customHeight="1" x14ac:dyDescent="0.55000000000000004">
      <c r="D9" s="2"/>
    </row>
    <row r="10" spans="1:5" ht="42" customHeight="1" x14ac:dyDescent="0.55000000000000004">
      <c r="D10" s="2"/>
    </row>
    <row r="11" spans="1:5" ht="42" customHeight="1" x14ac:dyDescent="0.55000000000000004">
      <c r="D11" s="2"/>
    </row>
    <row r="12" spans="1:5" ht="42" customHeight="1" x14ac:dyDescent="0.55000000000000004">
      <c r="D12" s="2"/>
    </row>
  </sheetData>
  <mergeCells count="1">
    <mergeCell ref="D2:D6"/>
  </mergeCells>
  <pageMargins left="0.7" right="0.7" top="0.75" bottom="0.75" header="0.3" footer="0.3"/>
  <pageSetup paperSize="8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rightToLeft="1" zoomScaleNormal="100" workbookViewId="0">
      <selection activeCell="H1" sqref="H1"/>
    </sheetView>
  </sheetViews>
  <sheetFormatPr defaultColWidth="7" defaultRowHeight="42" customHeight="1" x14ac:dyDescent="0.55000000000000004"/>
  <cols>
    <col min="1" max="4" width="18" style="3" customWidth="1"/>
    <col min="5" max="6" width="20" style="3" customWidth="1"/>
    <col min="7" max="7" width="30" style="3" customWidth="1"/>
    <col min="8" max="16384" width="7" style="3"/>
  </cols>
  <sheetData>
    <row r="1" spans="1:7" ht="42" customHeight="1" x14ac:dyDescent="0.55000000000000004">
      <c r="A1" s="7" t="s">
        <v>1</v>
      </c>
      <c r="B1" s="8" t="s">
        <v>11</v>
      </c>
      <c r="C1" s="8" t="s">
        <v>10</v>
      </c>
      <c r="D1" s="8" t="s">
        <v>12</v>
      </c>
      <c r="E1" s="8" t="s">
        <v>17</v>
      </c>
      <c r="F1" s="8" t="s">
        <v>18</v>
      </c>
      <c r="G1" s="9" t="s">
        <v>0</v>
      </c>
    </row>
    <row r="2" spans="1:7" ht="42" customHeight="1" x14ac:dyDescent="0.55000000000000004">
      <c r="A2" s="4" t="s">
        <v>3</v>
      </c>
      <c r="B2" s="4">
        <v>160</v>
      </c>
      <c r="C2" s="4">
        <v>40</v>
      </c>
      <c r="D2" s="4">
        <v>28</v>
      </c>
      <c r="E2" s="4"/>
      <c r="F2" s="4"/>
      <c r="G2" s="75"/>
    </row>
    <row r="3" spans="1:7" ht="42" customHeight="1" x14ac:dyDescent="0.55000000000000004">
      <c r="A3" s="4" t="s">
        <v>4</v>
      </c>
      <c r="B3" s="4">
        <v>160</v>
      </c>
      <c r="C3" s="4">
        <v>30</v>
      </c>
      <c r="D3" s="4">
        <v>29</v>
      </c>
      <c r="E3" s="4"/>
      <c r="F3" s="4"/>
      <c r="G3" s="76"/>
    </row>
    <row r="4" spans="1:7" ht="42" customHeight="1" x14ac:dyDescent="0.55000000000000004">
      <c r="A4" s="4" t="s">
        <v>5</v>
      </c>
      <c r="B4" s="4">
        <v>160</v>
      </c>
      <c r="C4" s="4">
        <v>40</v>
      </c>
      <c r="D4" s="4">
        <v>38</v>
      </c>
      <c r="E4" s="5"/>
      <c r="F4" s="4"/>
      <c r="G4" s="76"/>
    </row>
    <row r="5" spans="1:7" ht="42" customHeight="1" x14ac:dyDescent="0.55000000000000004">
      <c r="A5" s="4" t="s">
        <v>6</v>
      </c>
      <c r="B5" s="4">
        <v>156</v>
      </c>
      <c r="C5" s="4">
        <v>38</v>
      </c>
      <c r="D5" s="4">
        <v>30</v>
      </c>
      <c r="E5" s="4"/>
      <c r="F5" s="4"/>
      <c r="G5" s="76"/>
    </row>
    <row r="6" spans="1:7" ht="42" customHeight="1" x14ac:dyDescent="0.55000000000000004">
      <c r="A6" s="4" t="s">
        <v>7</v>
      </c>
      <c r="B6" s="4">
        <v>164</v>
      </c>
      <c r="C6" s="4">
        <v>40</v>
      </c>
      <c r="D6" s="4">
        <v>30</v>
      </c>
      <c r="E6" s="4"/>
      <c r="F6" s="4"/>
      <c r="G6" s="77"/>
    </row>
    <row r="8" spans="1:7" ht="42" customHeight="1" x14ac:dyDescent="0.55000000000000004">
      <c r="A8" s="48" t="s">
        <v>13</v>
      </c>
      <c r="B8" s="49"/>
      <c r="C8" s="50"/>
      <c r="D8" s="50"/>
      <c r="E8" s="50"/>
      <c r="F8" s="50"/>
    </row>
    <row r="9" spans="1:7" ht="42" customHeight="1" x14ac:dyDescent="0.55000000000000004">
      <c r="G9" s="4"/>
    </row>
    <row r="10" spans="1:7" ht="42" customHeight="1" x14ac:dyDescent="0.55000000000000004">
      <c r="G10" s="4"/>
    </row>
    <row r="11" spans="1:7" ht="42" customHeight="1" x14ac:dyDescent="0.55000000000000004">
      <c r="G11" s="4"/>
    </row>
  </sheetData>
  <mergeCells count="4">
    <mergeCell ref="G2:G6"/>
    <mergeCell ref="A8:B8"/>
    <mergeCell ref="C8:D8"/>
    <mergeCell ref="E8:F8"/>
  </mergeCells>
  <phoneticPr fontId="3" type="noConversion"/>
  <pageMargins left="0.70866141732283472" right="0.70866141732283472" top="0.74803149606299213" bottom="0.74803149606299213" header="0.31496062992125984" footer="0.31496062992125984"/>
  <pageSetup paperSize="8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rightToLeft="1" zoomScaleNormal="100" workbookViewId="0">
      <selection activeCell="H1" sqref="H1"/>
    </sheetView>
  </sheetViews>
  <sheetFormatPr defaultColWidth="7" defaultRowHeight="42" customHeight="1" x14ac:dyDescent="0.55000000000000004"/>
  <cols>
    <col min="1" max="4" width="18" style="3" customWidth="1"/>
    <col min="5" max="6" width="20" style="3" customWidth="1"/>
    <col min="7" max="7" width="30" style="3" customWidth="1"/>
    <col min="8" max="16384" width="7" style="3"/>
  </cols>
  <sheetData>
    <row r="1" spans="1:7" ht="42" customHeight="1" thickBot="1" x14ac:dyDescent="0.6">
      <c r="A1" s="7" t="s">
        <v>2</v>
      </c>
      <c r="B1" s="12" t="s">
        <v>11</v>
      </c>
      <c r="C1" s="12" t="s">
        <v>10</v>
      </c>
      <c r="D1" s="12" t="s">
        <v>12</v>
      </c>
      <c r="E1" s="8" t="s">
        <v>14</v>
      </c>
      <c r="F1" s="8" t="s">
        <v>15</v>
      </c>
      <c r="G1" s="9" t="s">
        <v>0</v>
      </c>
    </row>
    <row r="2" spans="1:7" ht="42" customHeight="1" x14ac:dyDescent="0.55000000000000004">
      <c r="A2" s="4" t="s">
        <v>3</v>
      </c>
      <c r="B2" s="4">
        <v>84</v>
      </c>
      <c r="C2" s="4">
        <v>34</v>
      </c>
      <c r="D2" s="4">
        <v>32</v>
      </c>
      <c r="E2" s="4"/>
      <c r="F2" s="4"/>
      <c r="G2" s="78"/>
    </row>
    <row r="3" spans="1:7" ht="42" customHeight="1" x14ac:dyDescent="0.55000000000000004">
      <c r="A3" s="4" t="s">
        <v>4</v>
      </c>
      <c r="B3" s="4">
        <v>80</v>
      </c>
      <c r="C3" s="4">
        <v>33</v>
      </c>
      <c r="D3" s="4">
        <v>31</v>
      </c>
      <c r="E3" s="4"/>
      <c r="F3" s="4"/>
      <c r="G3" s="79"/>
    </row>
    <row r="4" spans="1:7" ht="42" customHeight="1" x14ac:dyDescent="0.55000000000000004">
      <c r="A4" s="4" t="s">
        <v>5</v>
      </c>
      <c r="B4" s="4">
        <v>80</v>
      </c>
      <c r="C4" s="4">
        <v>35</v>
      </c>
      <c r="D4" s="4">
        <v>33</v>
      </c>
      <c r="E4" s="4"/>
      <c r="F4" s="4"/>
      <c r="G4" s="79"/>
    </row>
    <row r="5" spans="1:7" ht="42" customHeight="1" x14ac:dyDescent="0.55000000000000004">
      <c r="A5" s="4" t="s">
        <v>6</v>
      </c>
      <c r="B5" s="4">
        <v>76</v>
      </c>
      <c r="C5" s="4">
        <v>33</v>
      </c>
      <c r="D5" s="4">
        <v>31</v>
      </c>
      <c r="E5" s="4"/>
      <c r="F5" s="4"/>
      <c r="G5" s="79"/>
    </row>
    <row r="6" spans="1:7" ht="42" customHeight="1" x14ac:dyDescent="0.55000000000000004">
      <c r="A6" s="4" t="s">
        <v>7</v>
      </c>
      <c r="B6" s="4">
        <v>80</v>
      </c>
      <c r="C6" s="4">
        <v>35</v>
      </c>
      <c r="D6" s="4">
        <v>33</v>
      </c>
      <c r="E6" s="4"/>
      <c r="F6" s="4"/>
      <c r="G6" s="80"/>
    </row>
    <row r="8" spans="1:7" ht="42" customHeight="1" x14ac:dyDescent="0.55000000000000004">
      <c r="A8" s="48" t="s">
        <v>16</v>
      </c>
      <c r="B8" s="49"/>
      <c r="E8" s="50"/>
      <c r="F8" s="50"/>
    </row>
    <row r="9" spans="1:7" ht="42" customHeight="1" x14ac:dyDescent="0.55000000000000004">
      <c r="A9" s="13"/>
      <c r="B9" s="13"/>
    </row>
  </sheetData>
  <mergeCells count="3">
    <mergeCell ref="A8:B8"/>
    <mergeCell ref="G2:G6"/>
    <mergeCell ref="E8:F8"/>
  </mergeCells>
  <phoneticPr fontId="3" type="noConversion"/>
  <pageMargins left="0.23622047244094491" right="0.23622047244094491" top="0.74803149606299213" bottom="0.74803149606299213" header="0.31496062992125984" footer="0.31496062992125984"/>
  <pageSetup paperSize="8" scale="7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A4E8-DE98-4251-8324-01A5E2E3D503}">
  <dimension ref="A1:T25"/>
  <sheetViews>
    <sheetView rightToLeft="1" tabSelected="1" zoomScaleNormal="100" workbookViewId="0">
      <selection activeCell="M25" sqref="M25"/>
    </sheetView>
  </sheetViews>
  <sheetFormatPr defaultColWidth="7" defaultRowHeight="42" customHeight="1" x14ac:dyDescent="0.55000000000000004"/>
  <cols>
    <col min="1" max="1" width="9" style="3" customWidth="1"/>
    <col min="2" max="2" width="7.5" style="3" customWidth="1"/>
    <col min="3" max="3" width="10.19921875" style="3" customWidth="1"/>
    <col min="4" max="4" width="8.09765625" style="3" customWidth="1"/>
    <col min="5" max="5" width="6.19921875" style="3" customWidth="1"/>
    <col min="6" max="9" width="9" style="3" customWidth="1"/>
    <col min="10" max="10" width="13.59765625" style="3" customWidth="1"/>
    <col min="11" max="16" width="10" style="3" customWidth="1"/>
    <col min="17" max="17" width="7" style="3"/>
    <col min="18" max="18" width="12.3984375" style="3" customWidth="1"/>
    <col min="19" max="19" width="7" style="3"/>
    <col min="20" max="20" width="7" style="3" customWidth="1"/>
    <col min="21" max="16384" width="7" style="3"/>
  </cols>
  <sheetData>
    <row r="1" spans="1:20" ht="36" customHeight="1" thickBot="1" x14ac:dyDescent="0.6">
      <c r="A1" s="7" t="s">
        <v>22</v>
      </c>
      <c r="B1" s="8" t="s">
        <v>23</v>
      </c>
      <c r="C1" s="33" t="s">
        <v>87</v>
      </c>
      <c r="D1" s="8" t="s">
        <v>24</v>
      </c>
      <c r="E1" s="8" t="s">
        <v>25</v>
      </c>
      <c r="F1" s="8" t="s">
        <v>19</v>
      </c>
      <c r="G1" s="8" t="s">
        <v>26</v>
      </c>
      <c r="H1" s="8" t="s">
        <v>12</v>
      </c>
      <c r="I1" s="18" t="s">
        <v>27</v>
      </c>
      <c r="J1" s="26"/>
      <c r="K1" s="31" t="s">
        <v>52</v>
      </c>
      <c r="L1" s="31" t="s">
        <v>84</v>
      </c>
      <c r="M1" s="31" t="s">
        <v>85</v>
      </c>
      <c r="N1" s="31" t="s">
        <v>53</v>
      </c>
      <c r="O1" s="31" t="s">
        <v>54</v>
      </c>
      <c r="P1" s="31" t="s">
        <v>79</v>
      </c>
      <c r="Q1" s="64" t="s">
        <v>86</v>
      </c>
      <c r="R1" s="65"/>
      <c r="S1" s="65"/>
      <c r="T1" s="66"/>
    </row>
    <row r="2" spans="1:20" ht="24" customHeight="1" x14ac:dyDescent="0.55000000000000004">
      <c r="A2" s="19" t="s">
        <v>28</v>
      </c>
      <c r="B2" s="17" t="s">
        <v>29</v>
      </c>
      <c r="C2" s="17">
        <v>20</v>
      </c>
      <c r="D2" s="17" t="s">
        <v>50</v>
      </c>
      <c r="E2" s="17">
        <v>1</v>
      </c>
      <c r="F2" s="17">
        <v>200</v>
      </c>
      <c r="G2" s="17">
        <v>200</v>
      </c>
      <c r="H2" s="17">
        <v>195</v>
      </c>
      <c r="I2" s="17">
        <v>193</v>
      </c>
      <c r="J2" s="17"/>
      <c r="K2" s="35">
        <f>((F2-G2)/F2)*100</f>
        <v>0</v>
      </c>
      <c r="L2" s="36">
        <f>((F2-H2)/F2)*100</f>
        <v>2.5</v>
      </c>
      <c r="M2" s="36">
        <f>((F2-I2)/F2)*100</f>
        <v>3.5000000000000004</v>
      </c>
      <c r="N2" s="36">
        <f>((G2-H2)/G2)*100</f>
        <v>2.5</v>
      </c>
      <c r="O2" s="36">
        <f>((G2-I2)/G2)*100</f>
        <v>3.5000000000000004</v>
      </c>
      <c r="P2" s="36">
        <f>((H2-I2)/H2)*100</f>
        <v>1.0256410256410255</v>
      </c>
      <c r="Q2" s="67"/>
      <c r="R2" s="68"/>
      <c r="S2" s="63" t="s">
        <v>52</v>
      </c>
      <c r="T2" s="63"/>
    </row>
    <row r="3" spans="1:20" ht="24" customHeight="1" x14ac:dyDescent="0.55000000000000004">
      <c r="A3" s="19" t="s">
        <v>30</v>
      </c>
      <c r="B3" s="17" t="s">
        <v>29</v>
      </c>
      <c r="C3" s="17">
        <v>20</v>
      </c>
      <c r="D3" s="17" t="s">
        <v>50</v>
      </c>
      <c r="E3" s="17">
        <v>2</v>
      </c>
      <c r="F3" s="17">
        <v>200</v>
      </c>
      <c r="G3" s="17">
        <v>200</v>
      </c>
      <c r="H3" s="17">
        <v>198</v>
      </c>
      <c r="I3" s="17">
        <v>196</v>
      </c>
      <c r="J3" s="17"/>
      <c r="K3" s="37">
        <f t="shared" ref="K3:K19" si="0">((F3-G3)/F3)*100</f>
        <v>0</v>
      </c>
      <c r="L3" s="38">
        <f t="shared" ref="L3:L19" si="1">((F3-H3)/F3)*100</f>
        <v>1</v>
      </c>
      <c r="M3" s="38">
        <f t="shared" ref="M3:M19" si="2">((F3-I3)/F3)*100</f>
        <v>2</v>
      </c>
      <c r="N3" s="38">
        <f t="shared" ref="N3:N19" si="3">((G3-H3)/G3)*100</f>
        <v>1</v>
      </c>
      <c r="O3" s="38">
        <f t="shared" ref="O3:O19" si="4">((G3-I3)/G3)*100</f>
        <v>2</v>
      </c>
      <c r="P3" s="38">
        <f t="shared" ref="P3:P19" si="5">((H3-I3)/H3)*100</f>
        <v>1.0101010101010102</v>
      </c>
      <c r="Q3" s="59"/>
      <c r="R3" s="60"/>
      <c r="S3" s="63"/>
      <c r="T3" s="63"/>
    </row>
    <row r="4" spans="1:20" ht="24" customHeight="1" x14ac:dyDescent="0.55000000000000004">
      <c r="A4" s="19" t="s">
        <v>31</v>
      </c>
      <c r="B4" s="17" t="s">
        <v>29</v>
      </c>
      <c r="C4" s="17">
        <v>20</v>
      </c>
      <c r="D4" s="17" t="s">
        <v>50</v>
      </c>
      <c r="E4" s="17">
        <v>3</v>
      </c>
      <c r="F4" s="17">
        <v>200</v>
      </c>
      <c r="G4" s="17">
        <v>200</v>
      </c>
      <c r="H4" s="17">
        <v>199</v>
      </c>
      <c r="I4" s="17">
        <v>197</v>
      </c>
      <c r="J4" s="17"/>
      <c r="K4" s="39">
        <f t="shared" si="0"/>
        <v>0</v>
      </c>
      <c r="L4" s="36">
        <f t="shared" si="1"/>
        <v>0.5</v>
      </c>
      <c r="M4" s="36">
        <f t="shared" si="2"/>
        <v>1.5</v>
      </c>
      <c r="N4" s="36">
        <f t="shared" si="3"/>
        <v>0.5</v>
      </c>
      <c r="O4" s="36">
        <f t="shared" si="4"/>
        <v>1.5</v>
      </c>
      <c r="P4" s="36">
        <f t="shared" si="5"/>
        <v>1.0050251256281406</v>
      </c>
      <c r="Q4" s="61"/>
      <c r="R4" s="62"/>
      <c r="S4" s="63"/>
      <c r="T4" s="63"/>
    </row>
    <row r="5" spans="1:20" ht="24" customHeight="1" x14ac:dyDescent="0.55000000000000004">
      <c r="A5" s="19" t="s">
        <v>32</v>
      </c>
      <c r="B5" s="17" t="s">
        <v>29</v>
      </c>
      <c r="C5" s="17">
        <v>20</v>
      </c>
      <c r="D5" s="17" t="s">
        <v>51</v>
      </c>
      <c r="E5" s="17">
        <v>1</v>
      </c>
      <c r="F5" s="17">
        <v>200</v>
      </c>
      <c r="G5" s="17">
        <v>200</v>
      </c>
      <c r="H5" s="17">
        <v>198</v>
      </c>
      <c r="I5" s="17">
        <v>195</v>
      </c>
      <c r="J5" s="17"/>
      <c r="K5" s="37">
        <f t="shared" si="0"/>
        <v>0</v>
      </c>
      <c r="L5" s="38">
        <f t="shared" si="1"/>
        <v>1</v>
      </c>
      <c r="M5" s="38">
        <f t="shared" si="2"/>
        <v>2.5</v>
      </c>
      <c r="N5" s="40">
        <f t="shared" si="3"/>
        <v>1</v>
      </c>
      <c r="O5" s="40">
        <f t="shared" si="4"/>
        <v>2.5</v>
      </c>
      <c r="P5" s="38">
        <f t="shared" si="5"/>
        <v>1.5151515151515151</v>
      </c>
      <c r="Q5" s="57"/>
      <c r="R5" s="58"/>
      <c r="S5" s="56" t="s">
        <v>80</v>
      </c>
      <c r="T5" s="56"/>
    </row>
    <row r="6" spans="1:20" ht="24" customHeight="1" x14ac:dyDescent="0.55000000000000004">
      <c r="A6" s="19" t="s">
        <v>33</v>
      </c>
      <c r="B6" s="17" t="s">
        <v>29</v>
      </c>
      <c r="C6" s="17">
        <v>20</v>
      </c>
      <c r="D6" s="17" t="s">
        <v>51</v>
      </c>
      <c r="E6" s="17">
        <v>2</v>
      </c>
      <c r="F6" s="17">
        <v>200</v>
      </c>
      <c r="G6" s="17">
        <v>200</v>
      </c>
      <c r="H6" s="17">
        <v>195</v>
      </c>
      <c r="I6" s="17">
        <v>192</v>
      </c>
      <c r="J6" s="17"/>
      <c r="K6" s="39">
        <f t="shared" si="0"/>
        <v>0</v>
      </c>
      <c r="L6" s="36">
        <f t="shared" si="1"/>
        <v>2.5</v>
      </c>
      <c r="M6" s="36">
        <f t="shared" si="2"/>
        <v>4</v>
      </c>
      <c r="N6" s="41">
        <f t="shared" si="3"/>
        <v>2.5</v>
      </c>
      <c r="O6" s="41">
        <f t="shared" si="4"/>
        <v>4</v>
      </c>
      <c r="P6" s="36">
        <f t="shared" si="5"/>
        <v>1.5384615384615385</v>
      </c>
      <c r="Q6" s="59"/>
      <c r="R6" s="60"/>
      <c r="S6" s="56"/>
      <c r="T6" s="56"/>
    </row>
    <row r="7" spans="1:20" ht="24" customHeight="1" x14ac:dyDescent="0.55000000000000004">
      <c r="A7" s="19" t="s">
        <v>34</v>
      </c>
      <c r="B7" s="17" t="s">
        <v>29</v>
      </c>
      <c r="C7" s="17">
        <v>20</v>
      </c>
      <c r="D7" s="17" t="s">
        <v>51</v>
      </c>
      <c r="E7" s="17">
        <v>3</v>
      </c>
      <c r="F7" s="17">
        <v>200</v>
      </c>
      <c r="G7" s="17">
        <v>200</v>
      </c>
      <c r="H7" s="17">
        <v>195</v>
      </c>
      <c r="I7" s="17">
        <v>192</v>
      </c>
      <c r="J7" s="17"/>
      <c r="K7" s="37">
        <f t="shared" si="0"/>
        <v>0</v>
      </c>
      <c r="L7" s="38">
        <f t="shared" si="1"/>
        <v>2.5</v>
      </c>
      <c r="M7" s="38">
        <f t="shared" si="2"/>
        <v>4</v>
      </c>
      <c r="N7" s="40">
        <f t="shared" si="3"/>
        <v>2.5</v>
      </c>
      <c r="O7" s="40">
        <f t="shared" si="4"/>
        <v>4</v>
      </c>
      <c r="P7" s="38">
        <f t="shared" si="5"/>
        <v>1.5384615384615385</v>
      </c>
      <c r="Q7" s="61"/>
      <c r="R7" s="62"/>
      <c r="S7" s="56"/>
      <c r="T7" s="56"/>
    </row>
    <row r="8" spans="1:20" ht="24" customHeight="1" x14ac:dyDescent="0.55000000000000004">
      <c r="A8" s="19" t="s">
        <v>35</v>
      </c>
      <c r="B8" s="17" t="s">
        <v>29</v>
      </c>
      <c r="C8" s="17">
        <v>20</v>
      </c>
      <c r="D8" s="17" t="s">
        <v>74</v>
      </c>
      <c r="E8" s="17">
        <v>1</v>
      </c>
      <c r="F8" s="17">
        <v>200</v>
      </c>
      <c r="G8" s="17">
        <v>200</v>
      </c>
      <c r="H8" s="17">
        <v>197</v>
      </c>
      <c r="I8" s="17">
        <v>194</v>
      </c>
      <c r="J8" s="17"/>
      <c r="K8" s="39">
        <f t="shared" si="0"/>
        <v>0</v>
      </c>
      <c r="L8" s="36">
        <f t="shared" si="1"/>
        <v>1.5</v>
      </c>
      <c r="M8" s="36">
        <f t="shared" si="2"/>
        <v>3</v>
      </c>
      <c r="N8" s="41">
        <f t="shared" si="3"/>
        <v>1.5</v>
      </c>
      <c r="O8" s="41">
        <f t="shared" si="4"/>
        <v>3</v>
      </c>
      <c r="P8" s="36">
        <f t="shared" si="5"/>
        <v>1.5228426395939088</v>
      </c>
      <c r="Q8" s="57"/>
      <c r="R8" s="58"/>
      <c r="S8" s="56" t="s">
        <v>81</v>
      </c>
      <c r="T8" s="56"/>
    </row>
    <row r="9" spans="1:20" ht="24" customHeight="1" x14ac:dyDescent="0.55000000000000004">
      <c r="A9" s="19" t="s">
        <v>36</v>
      </c>
      <c r="B9" s="17" t="s">
        <v>29</v>
      </c>
      <c r="C9" s="17">
        <v>20</v>
      </c>
      <c r="D9" s="17" t="s">
        <v>74</v>
      </c>
      <c r="E9" s="17">
        <v>2</v>
      </c>
      <c r="F9" s="17">
        <v>200</v>
      </c>
      <c r="G9" s="17">
        <v>200</v>
      </c>
      <c r="H9" s="17">
        <v>195</v>
      </c>
      <c r="I9" s="17">
        <v>194</v>
      </c>
      <c r="J9" s="17"/>
      <c r="K9" s="37">
        <f t="shared" si="0"/>
        <v>0</v>
      </c>
      <c r="L9" s="38">
        <f t="shared" si="1"/>
        <v>2.5</v>
      </c>
      <c r="M9" s="38">
        <f t="shared" si="2"/>
        <v>3</v>
      </c>
      <c r="N9" s="40">
        <f t="shared" si="3"/>
        <v>2.5</v>
      </c>
      <c r="O9" s="40">
        <f t="shared" si="4"/>
        <v>3</v>
      </c>
      <c r="P9" s="38">
        <f t="shared" si="5"/>
        <v>0.51282051282051277</v>
      </c>
      <c r="Q9" s="59"/>
      <c r="R9" s="60"/>
      <c r="S9" s="56"/>
      <c r="T9" s="56"/>
    </row>
    <row r="10" spans="1:20" ht="24" customHeight="1" x14ac:dyDescent="0.55000000000000004">
      <c r="A10" s="19" t="s">
        <v>37</v>
      </c>
      <c r="B10" s="17" t="s">
        <v>29</v>
      </c>
      <c r="C10" s="17">
        <v>20</v>
      </c>
      <c r="D10" s="17" t="s">
        <v>74</v>
      </c>
      <c r="E10" s="17">
        <v>3</v>
      </c>
      <c r="F10" s="17">
        <v>200</v>
      </c>
      <c r="G10" s="17">
        <v>200</v>
      </c>
      <c r="H10" s="17">
        <v>195</v>
      </c>
      <c r="I10" s="17">
        <v>194</v>
      </c>
      <c r="J10" s="17"/>
      <c r="K10" s="39">
        <f t="shared" si="0"/>
        <v>0</v>
      </c>
      <c r="L10" s="36">
        <f t="shared" si="1"/>
        <v>2.5</v>
      </c>
      <c r="M10" s="36">
        <f t="shared" si="2"/>
        <v>3</v>
      </c>
      <c r="N10" s="41">
        <f t="shared" si="3"/>
        <v>2.5</v>
      </c>
      <c r="O10" s="41">
        <f t="shared" si="4"/>
        <v>3</v>
      </c>
      <c r="P10" s="36">
        <f t="shared" si="5"/>
        <v>0.51282051282051277</v>
      </c>
      <c r="Q10" s="61"/>
      <c r="R10" s="62"/>
      <c r="S10" s="56"/>
      <c r="T10" s="56"/>
    </row>
    <row r="11" spans="1:20" ht="24" customHeight="1" x14ac:dyDescent="0.55000000000000004">
      <c r="A11" s="19" t="s">
        <v>38</v>
      </c>
      <c r="B11" s="17" t="s">
        <v>29</v>
      </c>
      <c r="C11" s="17">
        <v>40</v>
      </c>
      <c r="D11" s="17" t="s">
        <v>50</v>
      </c>
      <c r="E11" s="17">
        <v>1</v>
      </c>
      <c r="F11" s="17">
        <v>200</v>
      </c>
      <c r="G11" s="17">
        <v>200</v>
      </c>
      <c r="H11" s="17">
        <v>198</v>
      </c>
      <c r="I11" s="17">
        <v>190</v>
      </c>
      <c r="J11" s="17"/>
      <c r="K11" s="37">
        <f t="shared" si="0"/>
        <v>0</v>
      </c>
      <c r="L11" s="38">
        <f t="shared" si="1"/>
        <v>1</v>
      </c>
      <c r="M11" s="38">
        <f t="shared" si="2"/>
        <v>5</v>
      </c>
      <c r="N11" s="38">
        <f t="shared" si="3"/>
        <v>1</v>
      </c>
      <c r="O11" s="38">
        <f t="shared" si="4"/>
        <v>5</v>
      </c>
      <c r="P11" s="38">
        <f t="shared" si="5"/>
        <v>4.0404040404040407</v>
      </c>
      <c r="Q11" s="57"/>
      <c r="R11" s="58"/>
      <c r="S11" s="56" t="s">
        <v>88</v>
      </c>
      <c r="T11" s="63"/>
    </row>
    <row r="12" spans="1:20" ht="24" customHeight="1" x14ac:dyDescent="0.55000000000000004">
      <c r="A12" s="19" t="s">
        <v>39</v>
      </c>
      <c r="B12" s="17" t="s">
        <v>29</v>
      </c>
      <c r="C12" s="17">
        <v>40</v>
      </c>
      <c r="D12" s="17" t="s">
        <v>50</v>
      </c>
      <c r="E12" s="17">
        <v>2</v>
      </c>
      <c r="F12" s="17">
        <v>200</v>
      </c>
      <c r="G12" s="17">
        <v>200</v>
      </c>
      <c r="H12" s="17">
        <v>196</v>
      </c>
      <c r="I12" s="17">
        <v>194</v>
      </c>
      <c r="J12" s="17"/>
      <c r="K12" s="39">
        <f t="shared" si="0"/>
        <v>0</v>
      </c>
      <c r="L12" s="36">
        <f t="shared" si="1"/>
        <v>2</v>
      </c>
      <c r="M12" s="36">
        <f t="shared" si="2"/>
        <v>3</v>
      </c>
      <c r="N12" s="36">
        <f t="shared" si="3"/>
        <v>2</v>
      </c>
      <c r="O12" s="36">
        <f t="shared" si="4"/>
        <v>3</v>
      </c>
      <c r="P12" s="36">
        <f t="shared" si="5"/>
        <v>1.0204081632653061</v>
      </c>
      <c r="Q12" s="59"/>
      <c r="R12" s="60"/>
      <c r="S12" s="63"/>
      <c r="T12" s="63"/>
    </row>
    <row r="13" spans="1:20" ht="24" customHeight="1" x14ac:dyDescent="0.55000000000000004">
      <c r="A13" s="19" t="s">
        <v>40</v>
      </c>
      <c r="B13" s="17" t="s">
        <v>29</v>
      </c>
      <c r="C13" s="17">
        <v>40</v>
      </c>
      <c r="D13" s="17" t="s">
        <v>50</v>
      </c>
      <c r="E13" s="17">
        <v>3</v>
      </c>
      <c r="F13" s="17">
        <v>200</v>
      </c>
      <c r="G13" s="17">
        <v>200</v>
      </c>
      <c r="H13" s="17">
        <v>197</v>
      </c>
      <c r="I13" s="17">
        <v>195</v>
      </c>
      <c r="J13" s="17"/>
      <c r="K13" s="37">
        <f t="shared" si="0"/>
        <v>0</v>
      </c>
      <c r="L13" s="38">
        <f t="shared" si="1"/>
        <v>1.5</v>
      </c>
      <c r="M13" s="38">
        <f t="shared" si="2"/>
        <v>2.5</v>
      </c>
      <c r="N13" s="38">
        <f t="shared" si="3"/>
        <v>1.5</v>
      </c>
      <c r="O13" s="38">
        <f t="shared" si="4"/>
        <v>2.5</v>
      </c>
      <c r="P13" s="38">
        <f t="shared" si="5"/>
        <v>1.015228426395939</v>
      </c>
      <c r="Q13" s="61"/>
      <c r="R13" s="62"/>
      <c r="S13" s="63"/>
      <c r="T13" s="63"/>
    </row>
    <row r="14" spans="1:20" ht="24" customHeight="1" x14ac:dyDescent="0.55000000000000004">
      <c r="A14" s="19" t="s">
        <v>41</v>
      </c>
      <c r="B14" s="17" t="s">
        <v>29</v>
      </c>
      <c r="C14" s="17">
        <v>40</v>
      </c>
      <c r="D14" s="17" t="s">
        <v>51</v>
      </c>
      <c r="E14" s="17">
        <v>1</v>
      </c>
      <c r="F14" s="17">
        <v>200</v>
      </c>
      <c r="G14" s="17">
        <v>200</v>
      </c>
      <c r="H14" s="17">
        <v>195</v>
      </c>
      <c r="I14" s="17">
        <v>194</v>
      </c>
      <c r="J14" s="17"/>
      <c r="K14" s="39">
        <f t="shared" si="0"/>
        <v>0</v>
      </c>
      <c r="L14" s="36">
        <f t="shared" si="1"/>
        <v>2.5</v>
      </c>
      <c r="M14" s="36">
        <f t="shared" si="2"/>
        <v>3</v>
      </c>
      <c r="N14" s="36">
        <f t="shared" si="3"/>
        <v>2.5</v>
      </c>
      <c r="O14" s="36">
        <f t="shared" si="4"/>
        <v>3</v>
      </c>
      <c r="P14" s="36">
        <f t="shared" si="5"/>
        <v>0.51282051282051277</v>
      </c>
      <c r="Q14" s="57"/>
      <c r="R14" s="58"/>
      <c r="S14" s="56" t="s">
        <v>89</v>
      </c>
      <c r="T14" s="63"/>
    </row>
    <row r="15" spans="1:20" ht="24" customHeight="1" x14ac:dyDescent="0.55000000000000004">
      <c r="A15" s="19" t="s">
        <v>42</v>
      </c>
      <c r="B15" s="17" t="s">
        <v>29</v>
      </c>
      <c r="C15" s="17">
        <v>40</v>
      </c>
      <c r="D15" s="17" t="s">
        <v>51</v>
      </c>
      <c r="E15" s="17">
        <v>2</v>
      </c>
      <c r="F15" s="17">
        <v>200</v>
      </c>
      <c r="G15" s="17">
        <v>200</v>
      </c>
      <c r="H15" s="17">
        <v>197</v>
      </c>
      <c r="I15" s="17">
        <v>195</v>
      </c>
      <c r="J15" s="17"/>
      <c r="K15" s="37">
        <f t="shared" si="0"/>
        <v>0</v>
      </c>
      <c r="L15" s="38">
        <f t="shared" si="1"/>
        <v>1.5</v>
      </c>
      <c r="M15" s="38">
        <f t="shared" si="2"/>
        <v>2.5</v>
      </c>
      <c r="N15" s="38">
        <f t="shared" si="3"/>
        <v>1.5</v>
      </c>
      <c r="O15" s="38">
        <f t="shared" si="4"/>
        <v>2.5</v>
      </c>
      <c r="P15" s="38">
        <f t="shared" si="5"/>
        <v>1.015228426395939</v>
      </c>
      <c r="Q15" s="59"/>
      <c r="R15" s="60"/>
      <c r="S15" s="63"/>
      <c r="T15" s="63"/>
    </row>
    <row r="16" spans="1:20" ht="24" customHeight="1" x14ac:dyDescent="0.55000000000000004">
      <c r="A16" s="19" t="s">
        <v>43</v>
      </c>
      <c r="B16" s="17" t="s">
        <v>29</v>
      </c>
      <c r="C16" s="17">
        <v>40</v>
      </c>
      <c r="D16" s="17" t="s">
        <v>51</v>
      </c>
      <c r="E16" s="17">
        <v>3</v>
      </c>
      <c r="F16" s="17">
        <v>200</v>
      </c>
      <c r="G16" s="17">
        <v>200</v>
      </c>
      <c r="H16" s="17">
        <v>197</v>
      </c>
      <c r="I16" s="17">
        <v>195</v>
      </c>
      <c r="J16" s="17"/>
      <c r="K16" s="39">
        <f t="shared" si="0"/>
        <v>0</v>
      </c>
      <c r="L16" s="36">
        <f t="shared" si="1"/>
        <v>1.5</v>
      </c>
      <c r="M16" s="36">
        <f t="shared" si="2"/>
        <v>2.5</v>
      </c>
      <c r="N16" s="36">
        <f t="shared" si="3"/>
        <v>1.5</v>
      </c>
      <c r="O16" s="36">
        <f t="shared" si="4"/>
        <v>2.5</v>
      </c>
      <c r="P16" s="36">
        <f t="shared" si="5"/>
        <v>1.015228426395939</v>
      </c>
      <c r="Q16" s="61"/>
      <c r="R16" s="62"/>
      <c r="S16" s="63"/>
      <c r="T16" s="63"/>
    </row>
    <row r="17" spans="1:20" ht="24" customHeight="1" x14ac:dyDescent="0.55000000000000004">
      <c r="A17" s="19" t="s">
        <v>44</v>
      </c>
      <c r="B17" s="17" t="s">
        <v>29</v>
      </c>
      <c r="C17" s="17">
        <v>40</v>
      </c>
      <c r="D17" s="17" t="s">
        <v>74</v>
      </c>
      <c r="E17" s="17">
        <v>1</v>
      </c>
      <c r="F17" s="17">
        <v>200</v>
      </c>
      <c r="G17" s="17">
        <v>200</v>
      </c>
      <c r="H17" s="17">
        <v>196</v>
      </c>
      <c r="I17" s="17">
        <v>194</v>
      </c>
      <c r="J17" s="17"/>
      <c r="K17" s="37">
        <f t="shared" si="0"/>
        <v>0</v>
      </c>
      <c r="L17" s="38">
        <f t="shared" si="1"/>
        <v>2</v>
      </c>
      <c r="M17" s="38">
        <f t="shared" si="2"/>
        <v>3</v>
      </c>
      <c r="N17" s="38">
        <f t="shared" si="3"/>
        <v>2</v>
      </c>
      <c r="O17" s="38">
        <f t="shared" si="4"/>
        <v>3</v>
      </c>
      <c r="P17" s="38">
        <f t="shared" si="5"/>
        <v>1.0204081632653061</v>
      </c>
      <c r="Q17" s="57"/>
      <c r="R17" s="58"/>
      <c r="S17" s="56" t="s">
        <v>90</v>
      </c>
      <c r="T17" s="63"/>
    </row>
    <row r="18" spans="1:20" ht="24" customHeight="1" x14ac:dyDescent="0.55000000000000004">
      <c r="A18" s="19" t="s">
        <v>45</v>
      </c>
      <c r="B18" s="17" t="s">
        <v>29</v>
      </c>
      <c r="C18" s="17">
        <v>40</v>
      </c>
      <c r="D18" s="17" t="s">
        <v>74</v>
      </c>
      <c r="E18" s="17">
        <v>2</v>
      </c>
      <c r="F18" s="17">
        <v>200</v>
      </c>
      <c r="G18" s="17">
        <v>200</v>
      </c>
      <c r="H18" s="17">
        <v>197</v>
      </c>
      <c r="I18" s="17">
        <v>195</v>
      </c>
      <c r="J18" s="17"/>
      <c r="K18" s="39">
        <f t="shared" si="0"/>
        <v>0</v>
      </c>
      <c r="L18" s="36">
        <f t="shared" si="1"/>
        <v>1.5</v>
      </c>
      <c r="M18" s="36">
        <f t="shared" si="2"/>
        <v>2.5</v>
      </c>
      <c r="N18" s="36">
        <f t="shared" si="3"/>
        <v>1.5</v>
      </c>
      <c r="O18" s="36">
        <f t="shared" si="4"/>
        <v>2.5</v>
      </c>
      <c r="P18" s="36">
        <f t="shared" si="5"/>
        <v>1.015228426395939</v>
      </c>
      <c r="Q18" s="59"/>
      <c r="R18" s="60"/>
      <c r="S18" s="63"/>
      <c r="T18" s="63"/>
    </row>
    <row r="19" spans="1:20" ht="24" customHeight="1" x14ac:dyDescent="0.55000000000000004">
      <c r="A19" s="19" t="s">
        <v>46</v>
      </c>
      <c r="B19" s="17" t="s">
        <v>29</v>
      </c>
      <c r="C19" s="17">
        <v>40</v>
      </c>
      <c r="D19" s="17" t="s">
        <v>74</v>
      </c>
      <c r="E19" s="17">
        <v>3</v>
      </c>
      <c r="F19" s="17">
        <v>200</v>
      </c>
      <c r="G19" s="17">
        <v>200</v>
      </c>
      <c r="H19" s="17">
        <v>196</v>
      </c>
      <c r="I19" s="17">
        <v>194</v>
      </c>
      <c r="J19" s="17"/>
      <c r="K19" s="37">
        <f t="shared" si="0"/>
        <v>0</v>
      </c>
      <c r="L19" s="38">
        <f t="shared" si="1"/>
        <v>2</v>
      </c>
      <c r="M19" s="38">
        <f t="shared" si="2"/>
        <v>3</v>
      </c>
      <c r="N19" s="38">
        <f t="shared" si="3"/>
        <v>2</v>
      </c>
      <c r="O19" s="38">
        <f t="shared" si="4"/>
        <v>3</v>
      </c>
      <c r="P19" s="38">
        <f t="shared" si="5"/>
        <v>1.0204081632653061</v>
      </c>
      <c r="Q19" s="61"/>
      <c r="R19" s="62"/>
      <c r="S19" s="63"/>
      <c r="T19" s="63"/>
    </row>
    <row r="20" spans="1:20" ht="18" customHeight="1" x14ac:dyDescent="0.55000000000000004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9"/>
      <c r="L20" s="87" t="s">
        <v>77</v>
      </c>
      <c r="M20" s="88"/>
      <c r="N20" s="85" t="s">
        <v>76</v>
      </c>
      <c r="O20" s="86"/>
      <c r="P20" s="51"/>
      <c r="Q20" s="51"/>
      <c r="R20" s="51"/>
      <c r="S20" s="51"/>
      <c r="T20" s="51"/>
    </row>
    <row r="21" spans="1:20" ht="24" customHeight="1" x14ac:dyDescent="0.55000000000000004">
      <c r="A21" s="19" t="s">
        <v>47</v>
      </c>
      <c r="B21" s="17" t="s">
        <v>29</v>
      </c>
      <c r="C21" s="17" t="s">
        <v>73</v>
      </c>
      <c r="D21" s="17" t="s">
        <v>73</v>
      </c>
      <c r="E21" s="17">
        <v>1</v>
      </c>
      <c r="F21" s="17">
        <v>200</v>
      </c>
      <c r="G21" s="17">
        <v>200</v>
      </c>
      <c r="H21" s="17">
        <v>198</v>
      </c>
      <c r="I21" s="17">
        <v>195</v>
      </c>
      <c r="J21" s="17"/>
      <c r="K21" s="89" t="s">
        <v>78</v>
      </c>
      <c r="L21" s="20">
        <v>4</v>
      </c>
      <c r="M21" s="81" t="s">
        <v>83</v>
      </c>
      <c r="N21" s="21">
        <v>4</v>
      </c>
      <c r="O21" s="83" t="s">
        <v>83</v>
      </c>
      <c r="P21" s="52"/>
      <c r="Q21" s="52"/>
      <c r="R21" s="52"/>
      <c r="S21" s="52"/>
      <c r="T21" s="52"/>
    </row>
    <row r="22" spans="1:20" ht="24" customHeight="1" x14ac:dyDescent="0.55000000000000004">
      <c r="A22" s="19" t="s">
        <v>48</v>
      </c>
      <c r="B22" s="17" t="s">
        <v>29</v>
      </c>
      <c r="C22" s="17" t="s">
        <v>73</v>
      </c>
      <c r="D22" s="17" t="s">
        <v>73</v>
      </c>
      <c r="E22" s="17">
        <v>2</v>
      </c>
      <c r="F22" s="17">
        <v>200</v>
      </c>
      <c r="G22" s="17">
        <v>200</v>
      </c>
      <c r="H22" s="17">
        <v>197</v>
      </c>
      <c r="I22" s="17">
        <v>195</v>
      </c>
      <c r="J22" s="17"/>
      <c r="K22" s="90"/>
      <c r="L22" s="20">
        <v>4</v>
      </c>
      <c r="M22" s="53"/>
      <c r="N22" s="21">
        <v>4</v>
      </c>
      <c r="O22" s="83"/>
      <c r="P22" s="52"/>
      <c r="Q22" s="52"/>
      <c r="R22" s="52"/>
      <c r="S22" s="52"/>
      <c r="T22" s="52"/>
    </row>
    <row r="23" spans="1:20" ht="24" customHeight="1" x14ac:dyDescent="0.55000000000000004">
      <c r="A23" s="19" t="s">
        <v>49</v>
      </c>
      <c r="B23" s="17" t="s">
        <v>29</v>
      </c>
      <c r="C23" s="17" t="s">
        <v>73</v>
      </c>
      <c r="D23" s="17" t="s">
        <v>73</v>
      </c>
      <c r="E23" s="17">
        <v>3</v>
      </c>
      <c r="F23" s="17">
        <v>200</v>
      </c>
      <c r="G23" s="17">
        <v>200</v>
      </c>
      <c r="H23" s="17">
        <v>198</v>
      </c>
      <c r="I23" s="17">
        <v>195</v>
      </c>
      <c r="J23" s="17"/>
      <c r="K23" s="91"/>
      <c r="L23" s="24">
        <v>3</v>
      </c>
      <c r="M23" s="53"/>
      <c r="N23" s="25">
        <v>3</v>
      </c>
      <c r="O23" s="83"/>
      <c r="P23" s="52"/>
      <c r="Q23" s="52"/>
      <c r="R23" s="52"/>
      <c r="S23" s="52"/>
      <c r="T23" s="52"/>
    </row>
    <row r="24" spans="1:20" ht="24" customHeight="1" thickBot="1" x14ac:dyDescent="0.6">
      <c r="K24" s="27" t="s">
        <v>75</v>
      </c>
      <c r="L24" s="34">
        <f>(SUM(L21:L23))/3</f>
        <v>3.6666666666666665</v>
      </c>
      <c r="M24" s="82"/>
      <c r="N24" s="34">
        <f>(SUM(N21:N23))/3</f>
        <v>3.6666666666666665</v>
      </c>
      <c r="O24" s="84"/>
      <c r="P24" s="52"/>
      <c r="Q24" s="52"/>
      <c r="R24" s="52"/>
      <c r="S24" s="52"/>
      <c r="T24" s="52"/>
    </row>
    <row r="25" spans="1:20" ht="42" customHeight="1" x14ac:dyDescent="0.55000000000000004">
      <c r="A25" s="48"/>
      <c r="B25" s="49"/>
      <c r="C25" s="50"/>
      <c r="D25" s="50"/>
    </row>
  </sheetData>
  <mergeCells count="21">
    <mergeCell ref="Q17:R19"/>
    <mergeCell ref="S17:T19"/>
    <mergeCell ref="K21:K23"/>
    <mergeCell ref="A25:B25"/>
    <mergeCell ref="C25:D25"/>
    <mergeCell ref="Q1:T1"/>
    <mergeCell ref="P20:T24"/>
    <mergeCell ref="M21:M24"/>
    <mergeCell ref="O21:O24"/>
    <mergeCell ref="N20:O20"/>
    <mergeCell ref="L20:M20"/>
    <mergeCell ref="Q2:R4"/>
    <mergeCell ref="S2:T4"/>
    <mergeCell ref="Q5:R7"/>
    <mergeCell ref="S5:T7"/>
    <mergeCell ref="Q8:R10"/>
    <mergeCell ref="S8:T10"/>
    <mergeCell ref="Q11:R13"/>
    <mergeCell ref="S11:T13"/>
    <mergeCell ref="Q14:R16"/>
    <mergeCell ref="S14:T16"/>
  </mergeCells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C166-2AA2-4477-9CDF-45596068E36C}">
  <dimension ref="A1:T31"/>
  <sheetViews>
    <sheetView rightToLeft="1" topLeftCell="A16" workbookViewId="0">
      <selection activeCell="U1" sqref="U1"/>
    </sheetView>
  </sheetViews>
  <sheetFormatPr defaultColWidth="7" defaultRowHeight="42" customHeight="1" x14ac:dyDescent="0.55000000000000004"/>
  <cols>
    <col min="1" max="1" width="10.5" style="3" customWidth="1"/>
    <col min="2" max="2" width="7.5" style="3" customWidth="1"/>
    <col min="3" max="3" width="10.19921875" style="3" customWidth="1"/>
    <col min="4" max="4" width="8.09765625" style="3" customWidth="1"/>
    <col min="5" max="5" width="6.19921875" style="3" customWidth="1"/>
    <col min="6" max="9" width="9" style="3" customWidth="1"/>
    <col min="10" max="10" width="13.59765625" style="3" customWidth="1"/>
    <col min="11" max="16" width="10" style="3" customWidth="1"/>
    <col min="17" max="17" width="7" style="3"/>
    <col min="18" max="18" width="12.3984375" style="3" customWidth="1"/>
    <col min="19" max="16384" width="7" style="3"/>
  </cols>
  <sheetData>
    <row r="1" spans="1:20" ht="36" customHeight="1" thickBot="1" x14ac:dyDescent="0.6">
      <c r="A1" s="7" t="s">
        <v>22</v>
      </c>
      <c r="B1" s="8" t="s">
        <v>23</v>
      </c>
      <c r="C1" s="33" t="s">
        <v>87</v>
      </c>
      <c r="D1" s="8" t="s">
        <v>24</v>
      </c>
      <c r="E1" s="8" t="s">
        <v>25</v>
      </c>
      <c r="F1" s="8" t="s">
        <v>19</v>
      </c>
      <c r="G1" s="8" t="s">
        <v>26</v>
      </c>
      <c r="H1" s="8" t="s">
        <v>12</v>
      </c>
      <c r="I1" s="18" t="s">
        <v>27</v>
      </c>
      <c r="J1" s="26"/>
      <c r="K1" s="31" t="s">
        <v>52</v>
      </c>
      <c r="L1" s="31" t="s">
        <v>84</v>
      </c>
      <c r="M1" s="31" t="s">
        <v>85</v>
      </c>
      <c r="N1" s="31" t="s">
        <v>53</v>
      </c>
      <c r="O1" s="31" t="s">
        <v>54</v>
      </c>
      <c r="P1" s="31" t="s">
        <v>79</v>
      </c>
      <c r="Q1" s="64" t="s">
        <v>86</v>
      </c>
      <c r="R1" s="65"/>
      <c r="S1" s="65"/>
      <c r="T1" s="66"/>
    </row>
    <row r="2" spans="1:20" ht="24" customHeight="1" x14ac:dyDescent="0.55000000000000004">
      <c r="A2" s="19" t="s">
        <v>55</v>
      </c>
      <c r="B2" s="17" t="s">
        <v>82</v>
      </c>
      <c r="C2" s="17">
        <v>20</v>
      </c>
      <c r="D2" s="17" t="s">
        <v>50</v>
      </c>
      <c r="E2" s="17">
        <v>1</v>
      </c>
      <c r="F2" s="17">
        <v>200</v>
      </c>
      <c r="G2" s="17">
        <v>200</v>
      </c>
      <c r="H2" s="17">
        <v>200</v>
      </c>
      <c r="I2" s="17">
        <v>199</v>
      </c>
      <c r="J2" s="17"/>
      <c r="K2" s="35">
        <f>((F2-G2)/F2)*100</f>
        <v>0</v>
      </c>
      <c r="L2" s="36">
        <f>((F2-H2)/F2)*100</f>
        <v>0</v>
      </c>
      <c r="M2" s="36">
        <f>((F2-I2)/F2)*100</f>
        <v>0.5</v>
      </c>
      <c r="N2" s="36">
        <f>((G2-H2)/G2)*100</f>
        <v>0</v>
      </c>
      <c r="O2" s="36">
        <f>((G2-I2)/G2)*100</f>
        <v>0.5</v>
      </c>
      <c r="P2" s="36">
        <f>((H2-I2)/H2)*100</f>
        <v>0.5</v>
      </c>
      <c r="Q2" s="67"/>
      <c r="R2" s="68"/>
      <c r="S2" s="63" t="s">
        <v>52</v>
      </c>
      <c r="T2" s="63"/>
    </row>
    <row r="3" spans="1:20" ht="24" customHeight="1" x14ac:dyDescent="0.55000000000000004">
      <c r="A3" s="19" t="s">
        <v>56</v>
      </c>
      <c r="B3" s="17" t="s">
        <v>82</v>
      </c>
      <c r="C3" s="17">
        <v>20</v>
      </c>
      <c r="D3" s="17" t="s">
        <v>50</v>
      </c>
      <c r="E3" s="17">
        <v>2</v>
      </c>
      <c r="F3" s="17">
        <v>200</v>
      </c>
      <c r="G3" s="17">
        <v>200</v>
      </c>
      <c r="H3" s="17">
        <v>200</v>
      </c>
      <c r="I3" s="17">
        <v>199</v>
      </c>
      <c r="J3" s="17"/>
      <c r="K3" s="37">
        <f t="shared" ref="K3:K19" si="0">((F3-G3)/F3)*100</f>
        <v>0</v>
      </c>
      <c r="L3" s="38">
        <f t="shared" ref="L3:L19" si="1">((F3-H3)/F3)*100</f>
        <v>0</v>
      </c>
      <c r="M3" s="38">
        <f t="shared" ref="M3:M19" si="2">((F3-I3)/F3)*100</f>
        <v>0.5</v>
      </c>
      <c r="N3" s="38">
        <f t="shared" ref="N3:N19" si="3">((G3-H3)/G3)*100</f>
        <v>0</v>
      </c>
      <c r="O3" s="38">
        <f t="shared" ref="O3:O19" si="4">((G3-I3)/G3)*100</f>
        <v>0.5</v>
      </c>
      <c r="P3" s="38">
        <f t="shared" ref="P3:P19" si="5">((H3-I3)/H3)*100</f>
        <v>0.5</v>
      </c>
      <c r="Q3" s="59"/>
      <c r="R3" s="60"/>
      <c r="S3" s="63"/>
      <c r="T3" s="63"/>
    </row>
    <row r="4" spans="1:20" ht="24" customHeight="1" x14ac:dyDescent="0.55000000000000004">
      <c r="A4" s="19" t="s">
        <v>57</v>
      </c>
      <c r="B4" s="17" t="s">
        <v>82</v>
      </c>
      <c r="C4" s="17">
        <v>20</v>
      </c>
      <c r="D4" s="17" t="s">
        <v>50</v>
      </c>
      <c r="E4" s="17">
        <v>3</v>
      </c>
      <c r="F4" s="17">
        <v>200</v>
      </c>
      <c r="G4" s="17">
        <v>200</v>
      </c>
      <c r="H4" s="17">
        <v>199</v>
      </c>
      <c r="I4" s="17">
        <v>198</v>
      </c>
      <c r="J4" s="17"/>
      <c r="K4" s="39">
        <f t="shared" si="0"/>
        <v>0</v>
      </c>
      <c r="L4" s="36">
        <f t="shared" si="1"/>
        <v>0.5</v>
      </c>
      <c r="M4" s="36">
        <f t="shared" si="2"/>
        <v>1</v>
      </c>
      <c r="N4" s="36">
        <f t="shared" si="3"/>
        <v>0.5</v>
      </c>
      <c r="O4" s="36">
        <f t="shared" si="4"/>
        <v>1</v>
      </c>
      <c r="P4" s="36">
        <f t="shared" si="5"/>
        <v>0.50251256281407031</v>
      </c>
      <c r="Q4" s="61"/>
      <c r="R4" s="62"/>
      <c r="S4" s="63"/>
      <c r="T4" s="63"/>
    </row>
    <row r="5" spans="1:20" ht="24" customHeight="1" x14ac:dyDescent="0.55000000000000004">
      <c r="A5" s="19" t="s">
        <v>58</v>
      </c>
      <c r="B5" s="17" t="s">
        <v>82</v>
      </c>
      <c r="C5" s="17">
        <v>20</v>
      </c>
      <c r="D5" s="17" t="s">
        <v>51</v>
      </c>
      <c r="E5" s="17">
        <v>1</v>
      </c>
      <c r="F5" s="17">
        <v>200</v>
      </c>
      <c r="G5" s="17">
        <v>200</v>
      </c>
      <c r="H5" s="17">
        <v>200</v>
      </c>
      <c r="I5" s="17">
        <v>198</v>
      </c>
      <c r="J5" s="17"/>
      <c r="K5" s="37">
        <f t="shared" si="0"/>
        <v>0</v>
      </c>
      <c r="L5" s="38">
        <f t="shared" si="1"/>
        <v>0</v>
      </c>
      <c r="M5" s="38">
        <f t="shared" si="2"/>
        <v>1</v>
      </c>
      <c r="N5" s="40">
        <f t="shared" si="3"/>
        <v>0</v>
      </c>
      <c r="O5" s="40">
        <f t="shared" si="4"/>
        <v>1</v>
      </c>
      <c r="P5" s="38">
        <f t="shared" si="5"/>
        <v>1</v>
      </c>
      <c r="Q5" s="57"/>
      <c r="R5" s="58"/>
      <c r="S5" s="56" t="s">
        <v>80</v>
      </c>
      <c r="T5" s="56"/>
    </row>
    <row r="6" spans="1:20" ht="24" customHeight="1" x14ac:dyDescent="0.55000000000000004">
      <c r="A6" s="19" t="s">
        <v>59</v>
      </c>
      <c r="B6" s="17" t="s">
        <v>82</v>
      </c>
      <c r="C6" s="17">
        <v>20</v>
      </c>
      <c r="D6" s="17" t="s">
        <v>51</v>
      </c>
      <c r="E6" s="17">
        <v>2</v>
      </c>
      <c r="F6" s="17">
        <v>200</v>
      </c>
      <c r="G6" s="17">
        <v>200</v>
      </c>
      <c r="H6" s="17">
        <v>199</v>
      </c>
      <c r="I6" s="17">
        <v>197</v>
      </c>
      <c r="J6" s="17"/>
      <c r="K6" s="39">
        <f t="shared" si="0"/>
        <v>0</v>
      </c>
      <c r="L6" s="36">
        <f t="shared" si="1"/>
        <v>0.5</v>
      </c>
      <c r="M6" s="36">
        <f t="shared" si="2"/>
        <v>1.5</v>
      </c>
      <c r="N6" s="41">
        <f t="shared" si="3"/>
        <v>0.5</v>
      </c>
      <c r="O6" s="41">
        <f t="shared" si="4"/>
        <v>1.5</v>
      </c>
      <c r="P6" s="36">
        <f t="shared" si="5"/>
        <v>1.0050251256281406</v>
      </c>
      <c r="Q6" s="59"/>
      <c r="R6" s="60"/>
      <c r="S6" s="56"/>
      <c r="T6" s="56"/>
    </row>
    <row r="7" spans="1:20" ht="24" customHeight="1" x14ac:dyDescent="0.55000000000000004">
      <c r="A7" s="19" t="s">
        <v>60</v>
      </c>
      <c r="B7" s="17" t="s">
        <v>82</v>
      </c>
      <c r="C7" s="17">
        <v>20</v>
      </c>
      <c r="D7" s="17" t="s">
        <v>51</v>
      </c>
      <c r="E7" s="17">
        <v>3</v>
      </c>
      <c r="F7" s="17">
        <v>200</v>
      </c>
      <c r="G7" s="17">
        <v>200</v>
      </c>
      <c r="H7" s="17">
        <v>199</v>
      </c>
      <c r="I7" s="17">
        <v>197</v>
      </c>
      <c r="J7" s="17"/>
      <c r="K7" s="37">
        <f t="shared" si="0"/>
        <v>0</v>
      </c>
      <c r="L7" s="38">
        <f t="shared" si="1"/>
        <v>0.5</v>
      </c>
      <c r="M7" s="38">
        <f t="shared" si="2"/>
        <v>1.5</v>
      </c>
      <c r="N7" s="40">
        <f t="shared" si="3"/>
        <v>0.5</v>
      </c>
      <c r="O7" s="40">
        <f t="shared" si="4"/>
        <v>1.5</v>
      </c>
      <c r="P7" s="38">
        <f t="shared" si="5"/>
        <v>1.0050251256281406</v>
      </c>
      <c r="Q7" s="61"/>
      <c r="R7" s="62"/>
      <c r="S7" s="56"/>
      <c r="T7" s="56"/>
    </row>
    <row r="8" spans="1:20" ht="24" customHeight="1" x14ac:dyDescent="0.55000000000000004">
      <c r="A8" s="19" t="s">
        <v>61</v>
      </c>
      <c r="B8" s="17" t="s">
        <v>82</v>
      </c>
      <c r="C8" s="17">
        <v>20</v>
      </c>
      <c r="D8" s="17" t="s">
        <v>74</v>
      </c>
      <c r="E8" s="17">
        <v>1</v>
      </c>
      <c r="F8" s="17">
        <v>200</v>
      </c>
      <c r="G8" s="17">
        <v>198</v>
      </c>
      <c r="H8" s="17">
        <v>198</v>
      </c>
      <c r="I8" s="17">
        <v>195</v>
      </c>
      <c r="J8" s="17"/>
      <c r="K8" s="39">
        <f t="shared" si="0"/>
        <v>1</v>
      </c>
      <c r="L8" s="36">
        <f t="shared" si="1"/>
        <v>1</v>
      </c>
      <c r="M8" s="36">
        <f t="shared" si="2"/>
        <v>2.5</v>
      </c>
      <c r="N8" s="41">
        <f t="shared" si="3"/>
        <v>0</v>
      </c>
      <c r="O8" s="41">
        <f t="shared" si="4"/>
        <v>1.5151515151515151</v>
      </c>
      <c r="P8" s="36">
        <f t="shared" si="5"/>
        <v>1.5151515151515151</v>
      </c>
      <c r="Q8" s="57"/>
      <c r="R8" s="58"/>
      <c r="S8" s="56" t="s">
        <v>81</v>
      </c>
      <c r="T8" s="56"/>
    </row>
    <row r="9" spans="1:20" ht="24" customHeight="1" x14ac:dyDescent="0.55000000000000004">
      <c r="A9" s="19" t="s">
        <v>62</v>
      </c>
      <c r="B9" s="17" t="s">
        <v>82</v>
      </c>
      <c r="C9" s="17">
        <v>20</v>
      </c>
      <c r="D9" s="17" t="s">
        <v>74</v>
      </c>
      <c r="E9" s="17">
        <v>2</v>
      </c>
      <c r="F9" s="17">
        <v>200</v>
      </c>
      <c r="G9" s="17">
        <v>200</v>
      </c>
      <c r="H9" s="17">
        <v>195</v>
      </c>
      <c r="I9" s="17">
        <v>192</v>
      </c>
      <c r="J9" s="17"/>
      <c r="K9" s="37">
        <f t="shared" si="0"/>
        <v>0</v>
      </c>
      <c r="L9" s="38">
        <f t="shared" si="1"/>
        <v>2.5</v>
      </c>
      <c r="M9" s="38">
        <f t="shared" si="2"/>
        <v>4</v>
      </c>
      <c r="N9" s="40">
        <f t="shared" si="3"/>
        <v>2.5</v>
      </c>
      <c r="O9" s="40">
        <f t="shared" si="4"/>
        <v>4</v>
      </c>
      <c r="P9" s="38">
        <f t="shared" si="5"/>
        <v>1.5384615384615385</v>
      </c>
      <c r="Q9" s="59"/>
      <c r="R9" s="60"/>
      <c r="S9" s="56"/>
      <c r="T9" s="56"/>
    </row>
    <row r="10" spans="1:20" ht="24" customHeight="1" x14ac:dyDescent="0.55000000000000004">
      <c r="A10" s="19" t="s">
        <v>63</v>
      </c>
      <c r="B10" s="17" t="s">
        <v>82</v>
      </c>
      <c r="C10" s="17">
        <v>20</v>
      </c>
      <c r="D10" s="17" t="s">
        <v>74</v>
      </c>
      <c r="E10" s="17">
        <v>3</v>
      </c>
      <c r="F10" s="17">
        <v>200</v>
      </c>
      <c r="G10" s="17">
        <v>200</v>
      </c>
      <c r="H10" s="17">
        <v>199</v>
      </c>
      <c r="I10" s="17">
        <v>195</v>
      </c>
      <c r="J10" s="17"/>
      <c r="K10" s="39">
        <f t="shared" si="0"/>
        <v>0</v>
      </c>
      <c r="L10" s="36">
        <f t="shared" si="1"/>
        <v>0.5</v>
      </c>
      <c r="M10" s="36">
        <f t="shared" si="2"/>
        <v>2.5</v>
      </c>
      <c r="N10" s="41">
        <f t="shared" si="3"/>
        <v>0.5</v>
      </c>
      <c r="O10" s="41">
        <f t="shared" si="4"/>
        <v>2.5</v>
      </c>
      <c r="P10" s="36">
        <f t="shared" si="5"/>
        <v>2.0100502512562812</v>
      </c>
      <c r="Q10" s="61"/>
      <c r="R10" s="62"/>
      <c r="S10" s="56"/>
      <c r="T10" s="56"/>
    </row>
    <row r="11" spans="1:20" ht="24" customHeight="1" x14ac:dyDescent="0.55000000000000004">
      <c r="A11" s="19" t="s">
        <v>64</v>
      </c>
      <c r="B11" s="17" t="s">
        <v>82</v>
      </c>
      <c r="C11" s="17">
        <v>40</v>
      </c>
      <c r="D11" s="17" t="s">
        <v>50</v>
      </c>
      <c r="E11" s="17">
        <v>1</v>
      </c>
      <c r="F11" s="17">
        <v>200</v>
      </c>
      <c r="G11" s="17">
        <v>200</v>
      </c>
      <c r="H11" s="17">
        <v>200</v>
      </c>
      <c r="I11" s="17">
        <v>199</v>
      </c>
      <c r="J11" s="17"/>
      <c r="K11" s="37">
        <f t="shared" si="0"/>
        <v>0</v>
      </c>
      <c r="L11" s="38">
        <f t="shared" si="1"/>
        <v>0</v>
      </c>
      <c r="M11" s="38">
        <f t="shared" si="2"/>
        <v>0.5</v>
      </c>
      <c r="N11" s="38">
        <f t="shared" si="3"/>
        <v>0</v>
      </c>
      <c r="O11" s="38">
        <f t="shared" si="4"/>
        <v>0.5</v>
      </c>
      <c r="P11" s="38">
        <f t="shared" si="5"/>
        <v>0.5</v>
      </c>
      <c r="Q11" s="57"/>
      <c r="R11" s="58"/>
      <c r="S11" s="56" t="s">
        <v>88</v>
      </c>
      <c r="T11" s="63"/>
    </row>
    <row r="12" spans="1:20" ht="24" customHeight="1" x14ac:dyDescent="0.55000000000000004">
      <c r="A12" s="19" t="s">
        <v>65</v>
      </c>
      <c r="B12" s="17" t="s">
        <v>82</v>
      </c>
      <c r="C12" s="17">
        <v>40</v>
      </c>
      <c r="D12" s="17" t="s">
        <v>50</v>
      </c>
      <c r="E12" s="17">
        <v>2</v>
      </c>
      <c r="F12" s="17">
        <v>200</v>
      </c>
      <c r="G12" s="17">
        <v>200</v>
      </c>
      <c r="H12" s="17">
        <v>200</v>
      </c>
      <c r="I12" s="17">
        <v>199</v>
      </c>
      <c r="J12" s="17"/>
      <c r="K12" s="39">
        <f t="shared" si="0"/>
        <v>0</v>
      </c>
      <c r="L12" s="36">
        <f t="shared" si="1"/>
        <v>0</v>
      </c>
      <c r="M12" s="36">
        <f t="shared" si="2"/>
        <v>0.5</v>
      </c>
      <c r="N12" s="36">
        <f t="shared" si="3"/>
        <v>0</v>
      </c>
      <c r="O12" s="36">
        <f t="shared" si="4"/>
        <v>0.5</v>
      </c>
      <c r="P12" s="36">
        <f t="shared" si="5"/>
        <v>0.5</v>
      </c>
      <c r="Q12" s="59"/>
      <c r="R12" s="60"/>
      <c r="S12" s="63"/>
      <c r="T12" s="63"/>
    </row>
    <row r="13" spans="1:20" ht="24" customHeight="1" x14ac:dyDescent="0.55000000000000004">
      <c r="A13" s="19" t="s">
        <v>66</v>
      </c>
      <c r="B13" s="17" t="s">
        <v>82</v>
      </c>
      <c r="C13" s="17">
        <v>40</v>
      </c>
      <c r="D13" s="17" t="s">
        <v>50</v>
      </c>
      <c r="E13" s="17">
        <v>3</v>
      </c>
      <c r="F13" s="17">
        <v>200</v>
      </c>
      <c r="G13" s="17">
        <v>200</v>
      </c>
      <c r="H13" s="17">
        <v>199</v>
      </c>
      <c r="I13" s="17">
        <v>198</v>
      </c>
      <c r="J13" s="17"/>
      <c r="K13" s="37">
        <f t="shared" si="0"/>
        <v>0</v>
      </c>
      <c r="L13" s="38">
        <f t="shared" si="1"/>
        <v>0.5</v>
      </c>
      <c r="M13" s="38">
        <f t="shared" si="2"/>
        <v>1</v>
      </c>
      <c r="N13" s="38">
        <f t="shared" si="3"/>
        <v>0.5</v>
      </c>
      <c r="O13" s="38">
        <f t="shared" si="4"/>
        <v>1</v>
      </c>
      <c r="P13" s="38">
        <f t="shared" si="5"/>
        <v>0.50251256281407031</v>
      </c>
      <c r="Q13" s="61"/>
      <c r="R13" s="62"/>
      <c r="S13" s="63"/>
      <c r="T13" s="63"/>
    </row>
    <row r="14" spans="1:20" ht="24" customHeight="1" x14ac:dyDescent="0.55000000000000004">
      <c r="A14" s="19" t="s">
        <v>67</v>
      </c>
      <c r="B14" s="17" t="s">
        <v>82</v>
      </c>
      <c r="C14" s="17">
        <v>40</v>
      </c>
      <c r="D14" s="17" t="s">
        <v>51</v>
      </c>
      <c r="E14" s="17">
        <v>1</v>
      </c>
      <c r="F14" s="17">
        <v>200</v>
      </c>
      <c r="G14" s="17">
        <v>200</v>
      </c>
      <c r="H14" s="17">
        <v>200</v>
      </c>
      <c r="I14" s="17">
        <v>199</v>
      </c>
      <c r="J14" s="17"/>
      <c r="K14" s="39">
        <f t="shared" si="0"/>
        <v>0</v>
      </c>
      <c r="L14" s="36">
        <f t="shared" si="1"/>
        <v>0</v>
      </c>
      <c r="M14" s="36">
        <f t="shared" si="2"/>
        <v>0.5</v>
      </c>
      <c r="N14" s="36">
        <f t="shared" si="3"/>
        <v>0</v>
      </c>
      <c r="O14" s="36">
        <f t="shared" si="4"/>
        <v>0.5</v>
      </c>
      <c r="P14" s="36">
        <f t="shared" si="5"/>
        <v>0.5</v>
      </c>
      <c r="Q14" s="57"/>
      <c r="R14" s="58"/>
      <c r="S14" s="56" t="s">
        <v>89</v>
      </c>
      <c r="T14" s="63"/>
    </row>
    <row r="15" spans="1:20" ht="24" customHeight="1" x14ac:dyDescent="0.55000000000000004">
      <c r="A15" s="19" t="s">
        <v>68</v>
      </c>
      <c r="B15" s="17" t="s">
        <v>82</v>
      </c>
      <c r="C15" s="17">
        <v>40</v>
      </c>
      <c r="D15" s="17" t="s">
        <v>51</v>
      </c>
      <c r="E15" s="17">
        <v>2</v>
      </c>
      <c r="F15" s="17">
        <v>200</v>
      </c>
      <c r="G15" s="17">
        <v>200</v>
      </c>
      <c r="H15" s="17">
        <v>200</v>
      </c>
      <c r="I15" s="17">
        <v>199</v>
      </c>
      <c r="J15" s="17"/>
      <c r="K15" s="37">
        <f t="shared" si="0"/>
        <v>0</v>
      </c>
      <c r="L15" s="38">
        <f t="shared" si="1"/>
        <v>0</v>
      </c>
      <c r="M15" s="38">
        <f t="shared" si="2"/>
        <v>0.5</v>
      </c>
      <c r="N15" s="38">
        <f t="shared" si="3"/>
        <v>0</v>
      </c>
      <c r="O15" s="38">
        <f t="shared" si="4"/>
        <v>0.5</v>
      </c>
      <c r="P15" s="38">
        <f t="shared" si="5"/>
        <v>0.5</v>
      </c>
      <c r="Q15" s="59"/>
      <c r="R15" s="60"/>
      <c r="S15" s="63"/>
      <c r="T15" s="63"/>
    </row>
    <row r="16" spans="1:20" ht="24" customHeight="1" x14ac:dyDescent="0.55000000000000004">
      <c r="A16" s="19" t="s">
        <v>69</v>
      </c>
      <c r="B16" s="17" t="s">
        <v>82</v>
      </c>
      <c r="C16" s="17">
        <v>40</v>
      </c>
      <c r="D16" s="17" t="s">
        <v>51</v>
      </c>
      <c r="E16" s="17">
        <v>3</v>
      </c>
      <c r="F16" s="17">
        <v>200</v>
      </c>
      <c r="G16" s="17">
        <v>200</v>
      </c>
      <c r="H16" s="17">
        <v>200</v>
      </c>
      <c r="I16" s="17">
        <v>199</v>
      </c>
      <c r="J16" s="17"/>
      <c r="K16" s="39">
        <f t="shared" si="0"/>
        <v>0</v>
      </c>
      <c r="L16" s="36">
        <f t="shared" si="1"/>
        <v>0</v>
      </c>
      <c r="M16" s="36">
        <f t="shared" si="2"/>
        <v>0.5</v>
      </c>
      <c r="N16" s="36">
        <f t="shared" si="3"/>
        <v>0</v>
      </c>
      <c r="O16" s="36">
        <f t="shared" si="4"/>
        <v>0.5</v>
      </c>
      <c r="P16" s="36">
        <f t="shared" si="5"/>
        <v>0.5</v>
      </c>
      <c r="Q16" s="61"/>
      <c r="R16" s="62"/>
      <c r="S16" s="63"/>
      <c r="T16" s="63"/>
    </row>
    <row r="17" spans="1:20" ht="24" customHeight="1" x14ac:dyDescent="0.55000000000000004">
      <c r="A17" s="19" t="s">
        <v>70</v>
      </c>
      <c r="B17" s="17" t="s">
        <v>82</v>
      </c>
      <c r="C17" s="17">
        <v>40</v>
      </c>
      <c r="D17" s="17" t="s">
        <v>74</v>
      </c>
      <c r="E17" s="17">
        <v>1</v>
      </c>
      <c r="F17" s="17">
        <v>200</v>
      </c>
      <c r="G17" s="17">
        <v>200</v>
      </c>
      <c r="H17" s="17">
        <v>199</v>
      </c>
      <c r="I17" s="17">
        <v>197</v>
      </c>
      <c r="J17" s="17"/>
      <c r="K17" s="37">
        <f t="shared" si="0"/>
        <v>0</v>
      </c>
      <c r="L17" s="38">
        <f t="shared" si="1"/>
        <v>0.5</v>
      </c>
      <c r="M17" s="38">
        <f t="shared" si="2"/>
        <v>1.5</v>
      </c>
      <c r="N17" s="38">
        <f t="shared" si="3"/>
        <v>0.5</v>
      </c>
      <c r="O17" s="38">
        <f t="shared" si="4"/>
        <v>1.5</v>
      </c>
      <c r="P17" s="38">
        <f t="shared" si="5"/>
        <v>1.0050251256281406</v>
      </c>
      <c r="Q17" s="57"/>
      <c r="R17" s="58"/>
      <c r="S17" s="56" t="s">
        <v>90</v>
      </c>
      <c r="T17" s="63"/>
    </row>
    <row r="18" spans="1:20" ht="24" customHeight="1" x14ac:dyDescent="0.55000000000000004">
      <c r="A18" s="19" t="s">
        <v>71</v>
      </c>
      <c r="B18" s="17" t="s">
        <v>82</v>
      </c>
      <c r="C18" s="17">
        <v>40</v>
      </c>
      <c r="D18" s="17" t="s">
        <v>74</v>
      </c>
      <c r="E18" s="17">
        <v>2</v>
      </c>
      <c r="F18" s="17">
        <v>200</v>
      </c>
      <c r="G18" s="17">
        <v>198</v>
      </c>
      <c r="H18" s="17">
        <v>198</v>
      </c>
      <c r="I18" s="17">
        <v>196</v>
      </c>
      <c r="J18" s="17"/>
      <c r="K18" s="39">
        <f t="shared" si="0"/>
        <v>1</v>
      </c>
      <c r="L18" s="36">
        <f t="shared" si="1"/>
        <v>1</v>
      </c>
      <c r="M18" s="36">
        <f t="shared" si="2"/>
        <v>2</v>
      </c>
      <c r="N18" s="36">
        <f t="shared" si="3"/>
        <v>0</v>
      </c>
      <c r="O18" s="36">
        <f t="shared" si="4"/>
        <v>1.0101010101010102</v>
      </c>
      <c r="P18" s="36">
        <f t="shared" si="5"/>
        <v>1.0101010101010102</v>
      </c>
      <c r="Q18" s="59"/>
      <c r="R18" s="60"/>
      <c r="S18" s="63"/>
      <c r="T18" s="63"/>
    </row>
    <row r="19" spans="1:20" ht="24" customHeight="1" x14ac:dyDescent="0.55000000000000004">
      <c r="A19" s="19" t="s">
        <v>72</v>
      </c>
      <c r="B19" s="17" t="s">
        <v>82</v>
      </c>
      <c r="C19" s="17">
        <v>40</v>
      </c>
      <c r="D19" s="17" t="s">
        <v>74</v>
      </c>
      <c r="E19" s="17">
        <v>3</v>
      </c>
      <c r="F19" s="17">
        <v>200</v>
      </c>
      <c r="G19" s="17">
        <v>200</v>
      </c>
      <c r="H19" s="17">
        <v>198</v>
      </c>
      <c r="I19" s="17">
        <v>196</v>
      </c>
      <c r="J19" s="17"/>
      <c r="K19" s="37">
        <f t="shared" si="0"/>
        <v>0</v>
      </c>
      <c r="L19" s="38">
        <f t="shared" si="1"/>
        <v>1</v>
      </c>
      <c r="M19" s="38">
        <f t="shared" si="2"/>
        <v>2</v>
      </c>
      <c r="N19" s="38">
        <f t="shared" si="3"/>
        <v>1</v>
      </c>
      <c r="O19" s="38">
        <f t="shared" si="4"/>
        <v>2</v>
      </c>
      <c r="P19" s="38">
        <f t="shared" si="5"/>
        <v>1.0101010101010102</v>
      </c>
      <c r="Q19" s="61"/>
      <c r="R19" s="62"/>
      <c r="S19" s="63"/>
      <c r="T19" s="63"/>
    </row>
    <row r="20" spans="1:20" ht="24" customHeight="1" x14ac:dyDescent="0.55000000000000004">
      <c r="A20" s="92" t="s">
        <v>91</v>
      </c>
      <c r="B20" s="17" t="s">
        <v>82</v>
      </c>
      <c r="C20" s="17">
        <v>20</v>
      </c>
      <c r="D20" s="17" t="s">
        <v>73</v>
      </c>
      <c r="E20" s="17">
        <v>1</v>
      </c>
      <c r="F20" s="17">
        <v>1000</v>
      </c>
      <c r="G20" s="17"/>
      <c r="H20" s="17">
        <v>990</v>
      </c>
      <c r="I20" s="17"/>
      <c r="J20" s="23"/>
      <c r="K20" s="29"/>
      <c r="L20" s="29"/>
      <c r="M20" s="29"/>
      <c r="N20" s="29"/>
      <c r="O20" s="29"/>
      <c r="P20" s="51"/>
      <c r="Q20" s="51"/>
      <c r="R20" s="51"/>
      <c r="S20" s="51"/>
      <c r="T20" s="51"/>
    </row>
    <row r="21" spans="1:20" ht="24" customHeight="1" x14ac:dyDescent="0.55000000000000004">
      <c r="A21" s="92" t="s">
        <v>91</v>
      </c>
      <c r="B21" s="17" t="s">
        <v>82</v>
      </c>
      <c r="C21" s="17">
        <v>20</v>
      </c>
      <c r="D21" s="17" t="s">
        <v>73</v>
      </c>
      <c r="E21" s="17">
        <v>2</v>
      </c>
      <c r="F21" s="17">
        <v>1000</v>
      </c>
      <c r="G21" s="17"/>
      <c r="H21" s="17">
        <v>990</v>
      </c>
      <c r="I21" s="17"/>
      <c r="J21" s="23"/>
      <c r="K21" s="29"/>
      <c r="L21" s="30"/>
      <c r="M21" s="30"/>
      <c r="N21" s="30"/>
      <c r="O21" s="30"/>
      <c r="P21" s="52"/>
      <c r="Q21" s="52"/>
      <c r="R21" s="52"/>
      <c r="S21" s="52"/>
      <c r="T21" s="52"/>
    </row>
    <row r="22" spans="1:20" ht="24" customHeight="1" x14ac:dyDescent="0.55000000000000004">
      <c r="A22" s="92" t="s">
        <v>91</v>
      </c>
      <c r="B22" s="17" t="s">
        <v>82</v>
      </c>
      <c r="C22" s="17">
        <v>20</v>
      </c>
      <c r="D22" s="17" t="s">
        <v>73</v>
      </c>
      <c r="E22" s="17">
        <v>3</v>
      </c>
      <c r="F22" s="17">
        <v>1000</v>
      </c>
      <c r="G22" s="17"/>
      <c r="H22" s="17">
        <v>990</v>
      </c>
      <c r="I22" s="17"/>
      <c r="J22" s="23"/>
      <c r="K22" s="29"/>
      <c r="L22" s="30"/>
      <c r="M22" s="30"/>
      <c r="N22" s="30"/>
      <c r="O22" s="30"/>
      <c r="P22" s="52"/>
      <c r="Q22" s="52"/>
      <c r="R22" s="52"/>
      <c r="S22" s="52"/>
      <c r="T22" s="52"/>
    </row>
    <row r="23" spans="1:20" ht="24" customHeight="1" x14ac:dyDescent="0.55000000000000004">
      <c r="A23" s="92" t="s">
        <v>91</v>
      </c>
      <c r="B23" s="17" t="s">
        <v>82</v>
      </c>
      <c r="C23" s="17">
        <v>40</v>
      </c>
      <c r="D23" s="17" t="s">
        <v>73</v>
      </c>
      <c r="E23" s="17">
        <v>1</v>
      </c>
      <c r="F23" s="17">
        <v>1000</v>
      </c>
      <c r="G23" s="17"/>
      <c r="H23" s="17">
        <v>990</v>
      </c>
      <c r="I23" s="17"/>
      <c r="J23" s="23"/>
      <c r="K23" s="29"/>
      <c r="L23" s="30"/>
      <c r="M23" s="30"/>
      <c r="N23" s="30"/>
      <c r="O23" s="30"/>
      <c r="P23" s="52"/>
      <c r="Q23" s="52"/>
      <c r="R23" s="52"/>
      <c r="S23" s="52"/>
      <c r="T23" s="52"/>
    </row>
    <row r="24" spans="1:20" ht="24" customHeight="1" x14ac:dyDescent="0.55000000000000004">
      <c r="A24" s="92" t="s">
        <v>91</v>
      </c>
      <c r="B24" s="17" t="s">
        <v>82</v>
      </c>
      <c r="C24" s="17">
        <v>40</v>
      </c>
      <c r="D24" s="17" t="s">
        <v>73</v>
      </c>
      <c r="E24" s="17">
        <v>2</v>
      </c>
      <c r="F24" s="17">
        <v>1000</v>
      </c>
      <c r="G24" s="17"/>
      <c r="H24" s="17">
        <v>990</v>
      </c>
      <c r="I24" s="17"/>
      <c r="J24" s="23"/>
      <c r="K24" s="29"/>
      <c r="L24" s="30"/>
      <c r="M24" s="30"/>
      <c r="N24" s="30"/>
      <c r="O24" s="30"/>
      <c r="P24" s="52"/>
      <c r="Q24" s="52"/>
      <c r="R24" s="52"/>
      <c r="S24" s="52"/>
      <c r="T24" s="52"/>
    </row>
    <row r="25" spans="1:20" ht="24" customHeight="1" x14ac:dyDescent="0.55000000000000004">
      <c r="A25" s="92" t="s">
        <v>91</v>
      </c>
      <c r="B25" s="17" t="s">
        <v>82</v>
      </c>
      <c r="C25" s="17">
        <v>40</v>
      </c>
      <c r="D25" s="17" t="s">
        <v>73</v>
      </c>
      <c r="E25" s="17">
        <v>3</v>
      </c>
      <c r="F25" s="17">
        <v>1000</v>
      </c>
      <c r="G25" s="17"/>
      <c r="H25" s="17">
        <v>990</v>
      </c>
      <c r="I25" s="17"/>
      <c r="J25" s="23"/>
      <c r="K25" s="29"/>
      <c r="L25" s="30"/>
      <c r="M25" s="30"/>
      <c r="N25" s="30"/>
      <c r="O25" s="30"/>
      <c r="P25" s="52"/>
      <c r="Q25" s="52"/>
      <c r="R25" s="52"/>
      <c r="S25" s="52"/>
      <c r="T25" s="52"/>
    </row>
    <row r="26" spans="1:20" ht="18" customHeight="1" x14ac:dyDescent="0.55000000000000004">
      <c r="A26" s="44"/>
      <c r="B26" s="45"/>
      <c r="C26" s="45"/>
      <c r="D26" s="45"/>
      <c r="E26" s="45"/>
      <c r="F26" s="45"/>
      <c r="G26" s="45"/>
      <c r="H26" s="45"/>
      <c r="I26" s="45"/>
      <c r="J26" s="46"/>
      <c r="K26" s="47"/>
      <c r="L26" s="54" t="s">
        <v>77</v>
      </c>
      <c r="M26" s="54"/>
      <c r="N26" s="54" t="s">
        <v>76</v>
      </c>
      <c r="O26" s="54"/>
      <c r="P26" s="52"/>
      <c r="Q26" s="52"/>
      <c r="R26" s="52"/>
      <c r="S26" s="52"/>
      <c r="T26" s="52"/>
    </row>
    <row r="27" spans="1:20" ht="24" customHeight="1" x14ac:dyDescent="0.55000000000000004">
      <c r="A27" s="19" t="s">
        <v>47</v>
      </c>
      <c r="B27" s="17" t="s">
        <v>82</v>
      </c>
      <c r="C27" s="17" t="s">
        <v>73</v>
      </c>
      <c r="D27" s="17" t="s">
        <v>73</v>
      </c>
      <c r="E27" s="17">
        <v>1</v>
      </c>
      <c r="F27" s="17">
        <v>200</v>
      </c>
      <c r="G27" s="17">
        <v>200</v>
      </c>
      <c r="H27" s="17">
        <v>200</v>
      </c>
      <c r="I27" s="17">
        <v>200</v>
      </c>
      <c r="J27" s="17"/>
      <c r="K27" s="55" t="s">
        <v>78</v>
      </c>
      <c r="L27" s="28">
        <v>5</v>
      </c>
      <c r="M27" s="53" t="s">
        <v>83</v>
      </c>
      <c r="N27" s="28">
        <v>4</v>
      </c>
      <c r="O27" s="53" t="s">
        <v>83</v>
      </c>
      <c r="P27" s="52"/>
      <c r="Q27" s="52"/>
      <c r="R27" s="52"/>
      <c r="S27" s="52"/>
      <c r="T27" s="52"/>
    </row>
    <row r="28" spans="1:20" ht="24" customHeight="1" x14ac:dyDescent="0.55000000000000004">
      <c r="A28" s="19" t="s">
        <v>48</v>
      </c>
      <c r="B28" s="17" t="s">
        <v>82</v>
      </c>
      <c r="C28" s="17" t="s">
        <v>73</v>
      </c>
      <c r="D28" s="17" t="s">
        <v>73</v>
      </c>
      <c r="E28" s="17">
        <v>2</v>
      </c>
      <c r="F28" s="17">
        <v>200</v>
      </c>
      <c r="G28" s="17">
        <v>200</v>
      </c>
      <c r="H28" s="17">
        <v>200</v>
      </c>
      <c r="I28" s="17">
        <v>200</v>
      </c>
      <c r="J28" s="17"/>
      <c r="K28" s="56"/>
      <c r="L28" s="20">
        <v>5</v>
      </c>
      <c r="M28" s="53"/>
      <c r="N28" s="20">
        <v>5</v>
      </c>
      <c r="O28" s="53"/>
      <c r="P28" s="52"/>
      <c r="Q28" s="52"/>
      <c r="R28" s="52"/>
      <c r="S28" s="52"/>
      <c r="T28" s="52"/>
    </row>
    <row r="29" spans="1:20" ht="24" customHeight="1" x14ac:dyDescent="0.55000000000000004">
      <c r="A29" s="19" t="s">
        <v>49</v>
      </c>
      <c r="B29" s="17" t="s">
        <v>82</v>
      </c>
      <c r="C29" s="17" t="s">
        <v>73</v>
      </c>
      <c r="D29" s="17" t="s">
        <v>73</v>
      </c>
      <c r="E29" s="17">
        <v>3</v>
      </c>
      <c r="F29" s="17">
        <v>200</v>
      </c>
      <c r="G29" s="17">
        <v>200</v>
      </c>
      <c r="H29" s="17">
        <v>200</v>
      </c>
      <c r="I29" s="17">
        <v>200</v>
      </c>
      <c r="J29" s="17"/>
      <c r="K29" s="56"/>
      <c r="L29" s="20">
        <v>4</v>
      </c>
      <c r="M29" s="53"/>
      <c r="N29" s="20">
        <v>5</v>
      </c>
      <c r="O29" s="53"/>
      <c r="P29" s="52"/>
      <c r="Q29" s="52"/>
      <c r="R29" s="52"/>
      <c r="S29" s="52"/>
      <c r="T29" s="52"/>
    </row>
    <row r="30" spans="1:20" ht="24" customHeight="1" x14ac:dyDescent="0.55000000000000004">
      <c r="K30" s="32" t="s">
        <v>75</v>
      </c>
      <c r="L30" s="42">
        <f>(SUM(L27:L29))/3</f>
        <v>4.666666666666667</v>
      </c>
      <c r="M30" s="43"/>
      <c r="N30" s="42">
        <f>(SUM(N27:N29))/3</f>
        <v>4.666666666666667</v>
      </c>
      <c r="O30" s="43"/>
      <c r="P30" s="52"/>
      <c r="Q30" s="52"/>
      <c r="R30" s="52"/>
      <c r="S30" s="52"/>
      <c r="T30" s="52"/>
    </row>
    <row r="31" spans="1:20" ht="42" customHeight="1" x14ac:dyDescent="0.55000000000000004">
      <c r="A31" s="48"/>
      <c r="B31" s="49"/>
      <c r="C31" s="50"/>
      <c r="D31" s="50"/>
    </row>
  </sheetData>
  <mergeCells count="22">
    <mergeCell ref="Q8:R10"/>
    <mergeCell ref="S8:T10"/>
    <mergeCell ref="Q1:T1"/>
    <mergeCell ref="Q2:R4"/>
    <mergeCell ref="S2:T4"/>
    <mergeCell ref="Q5:R7"/>
    <mergeCell ref="S5:T7"/>
    <mergeCell ref="Q11:R13"/>
    <mergeCell ref="S11:T13"/>
    <mergeCell ref="Q14:R16"/>
    <mergeCell ref="S14:T16"/>
    <mergeCell ref="Q17:R19"/>
    <mergeCell ref="S17:T19"/>
    <mergeCell ref="J26:K26"/>
    <mergeCell ref="A31:B31"/>
    <mergeCell ref="C31:D31"/>
    <mergeCell ref="P20:T30"/>
    <mergeCell ref="M27:M29"/>
    <mergeCell ref="O27:O29"/>
    <mergeCell ref="L26:M26"/>
    <mergeCell ref="N26:O26"/>
    <mergeCell ref="K27:K29"/>
  </mergeCells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دوک 20.2</vt:lpstr>
      <vt:lpstr>دوک40.2</vt:lpstr>
      <vt:lpstr>پارچه‌ی پنبه</vt:lpstr>
      <vt:lpstr>پارچه پلی استر</vt:lpstr>
      <vt:lpstr>نمونه پنبه</vt:lpstr>
      <vt:lpstr>نمونه پلی استر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Sedaghati</dc:creator>
  <cp:lastModifiedBy>Alireza Saiedian</cp:lastModifiedBy>
  <cp:lastPrinted>2026-08-21T07:18:49Z</cp:lastPrinted>
  <dcterms:created xsi:type="dcterms:W3CDTF">2026-06-23T22:10:07Z</dcterms:created>
  <dcterms:modified xsi:type="dcterms:W3CDTF">2026-09-01T10:33:19Z</dcterms:modified>
</cp:coreProperties>
</file>